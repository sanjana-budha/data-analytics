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tables/table1.xml" ContentType="application/vnd.openxmlformats-officedocument.spreadsheetml.table+xml"/>
  <Override PartName="/xl/slicers/slicer8.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4.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5.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8860a4f5f7051da0/Desktop/Training/Training POWERBI/"/>
    </mc:Choice>
  </mc:AlternateContent>
  <xr:revisionPtr revIDLastSave="44" documentId="8_{7A6D5047-53B3-4ABE-8CE5-331CF4D78E7E}" xr6:coauthVersionLast="47" xr6:coauthVersionMax="47" xr10:uidLastSave="{D1A20BA1-4D2F-4329-8EB8-F099A69C65B7}"/>
  <bookViews>
    <workbookView xWindow="-120" yWindow="-120" windowWidth="20730" windowHeight="11040" xr2:uid="{38E2FCC0-67B9-4ED7-B90C-2B2E23330494}"/>
  </bookViews>
  <sheets>
    <sheet name="customers" sheetId="1" r:id="rId1"/>
    <sheet name="Products" sheetId="3" r:id="rId2"/>
    <sheet name="orders" sheetId="4" r:id="rId3"/>
    <sheet name="Inventory" sheetId="5" r:id="rId4"/>
    <sheet name="Sales" sheetId="6" r:id="rId5"/>
    <sheet name="CUST-TABLE" sheetId="2" r:id="rId6"/>
    <sheet name="PROD_TABLE" sheetId="7" r:id="rId7"/>
    <sheet name="ORDER_TABLE" sheetId="9" r:id="rId8"/>
    <sheet name="INVENTORY_TABLE" sheetId="8" r:id="rId9"/>
    <sheet name="SALES_TABLE" sheetId="10" r:id="rId10"/>
  </sheets>
  <externalReferences>
    <externalReference r:id="rId11"/>
    <externalReference r:id="rId12"/>
  </externalReferences>
  <definedNames>
    <definedName name="Slicer_Category2">#N/A</definedName>
    <definedName name="Slicer_City">#N/A</definedName>
    <definedName name="Slicer_Current_stock2">#N/A</definedName>
    <definedName name="Slicer_Customer_ID">#N/A</definedName>
    <definedName name="Slicer_Customer_Name">#N/A</definedName>
    <definedName name="Slicer_Order_ID">#N/A</definedName>
    <definedName name="Slicer_Quarters__Month1">#N/A</definedName>
    <definedName name="Slicer_Reorder_Level2">#N/A</definedName>
    <definedName name="Slicer_Sales">#N/A</definedName>
    <definedName name="Slicer_Segment1">#N/A</definedName>
    <definedName name="Slicer_State1">#N/A</definedName>
    <definedName name="Slicer_Unit_Price2">#N/A</definedName>
    <definedName name="Slicer_Years__Month1">#N/A</definedName>
  </definedNames>
  <calcPr calcId="191029"/>
  <pivotCaches>
    <pivotCache cacheId="47" r:id="rId13"/>
    <pivotCache cacheId="39" r:id="rId14"/>
    <pivotCache cacheId="32" r:id="rId15"/>
    <pivotCache cacheId="31" r:id="rId16"/>
    <pivotCache cacheId="56"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 i="10" l="1"/>
  <c r="H11" i="10"/>
  <c r="K9" i="10"/>
  <c r="F30" i="8"/>
  <c r="F27" i="8"/>
  <c r="M12" i="8"/>
  <c r="M9" i="8"/>
  <c r="K33" i="9"/>
  <c r="K30" i="9"/>
  <c r="T13" i="9"/>
  <c r="G31" i="7"/>
  <c r="G28" i="7"/>
  <c r="N12" i="7"/>
  <c r="N16" i="7"/>
  <c r="Q12" i="2"/>
  <c r="I38" i="2"/>
  <c r="J17" i="10"/>
  <c r="I4" i="10" a="1"/>
  <c r="X29" i="9"/>
  <c r="X28" i="9"/>
  <c r="X27" i="9"/>
  <c r="X26" i="9"/>
  <c r="X25" i="9"/>
  <c r="X24" i="9"/>
  <c r="I12" i="9"/>
  <c r="I11" i="9"/>
  <c r="I10" i="9"/>
  <c r="I8" i="9"/>
  <c r="I7" i="9"/>
  <c r="Q6" i="9" a="1"/>
  <c r="I6" i="9"/>
  <c r="I5" i="9"/>
  <c r="H4" i="9"/>
  <c r="E38" i="8"/>
  <c r="E37" i="8"/>
  <c r="E36" i="8"/>
  <c r="E35" i="8"/>
  <c r="R27" i="8"/>
  <c r="R26" i="8"/>
  <c r="R25" i="8"/>
  <c r="R24" i="8"/>
  <c r="R23" i="8"/>
  <c r="R22" i="8"/>
  <c r="K4" i="8" a="1"/>
  <c r="M5" i="7" a="1"/>
  <c r="O4"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<sst xmlns="http://schemas.openxmlformats.org/spreadsheetml/2006/main" count="1893" uniqueCount="545">
  <si>
    <t>Customer ID</t>
  </si>
  <si>
    <t>Customer Name</t>
  </si>
  <si>
    <t>City</t>
  </si>
  <si>
    <t>State</t>
  </si>
  <si>
    <t>Segment</t>
  </si>
  <si>
    <t>VLOOKUP</t>
  </si>
  <si>
    <t>HLOOKUP</t>
  </si>
  <si>
    <t>BM-11575</t>
  </si>
  <si>
    <t>Brendan Murry</t>
  </si>
  <si>
    <t>Gaithersburg</t>
  </si>
  <si>
    <t>Maryland</t>
  </si>
  <si>
    <t>Consumer</t>
  </si>
  <si>
    <t>Home Office</t>
  </si>
  <si>
    <t>LR-16915</t>
  </si>
  <si>
    <t>Lena Radford</t>
  </si>
  <si>
    <t>Los Angeles</t>
  </si>
  <si>
    <t>California</t>
  </si>
  <si>
    <t>CA-12310</t>
  </si>
  <si>
    <t>Christine Abelman</t>
  </si>
  <si>
    <t>San Antonio</t>
  </si>
  <si>
    <t>Texas</t>
  </si>
  <si>
    <t>Corporate</t>
  </si>
  <si>
    <t>BO-11350</t>
  </si>
  <si>
    <t>Bill Overfelt</t>
  </si>
  <si>
    <t>Broken Arrow</t>
  </si>
  <si>
    <t>Oklahoma</t>
  </si>
  <si>
    <t>EB-13975</t>
  </si>
  <si>
    <t>Erica Bern</t>
  </si>
  <si>
    <t>Charlotte</t>
  </si>
  <si>
    <t>North Carolina</t>
  </si>
  <si>
    <t>TO FIND SEGMENT FROM STATE</t>
  </si>
  <si>
    <t>BP-11185</t>
  </si>
  <si>
    <t>Ben Peterman</t>
  </si>
  <si>
    <t>Philadelphia</t>
  </si>
  <si>
    <t>Pennsylvania</t>
  </si>
  <si>
    <t>AJ-10795</t>
  </si>
  <si>
    <t>Anthony Johnson</t>
  </si>
  <si>
    <t>Jacksonville</t>
  </si>
  <si>
    <t>Florida</t>
  </si>
  <si>
    <t>DW-13480</t>
  </si>
  <si>
    <t>Dianna Wilson</t>
  </si>
  <si>
    <t>Oakland</t>
  </si>
  <si>
    <t>NM-18520</t>
  </si>
  <si>
    <t>Neoma Murray</t>
  </si>
  <si>
    <t>Amarillo</t>
  </si>
  <si>
    <t>JO-15145</t>
  </si>
  <si>
    <t>Jack O'Briant</t>
  </si>
  <si>
    <t>Franklin</t>
  </si>
  <si>
    <t>Wisconsin</t>
  </si>
  <si>
    <t>VS-21820</t>
  </si>
  <si>
    <t>Vivek Sundaresam</t>
  </si>
  <si>
    <t>Raleigh</t>
  </si>
  <si>
    <t>LA-16780</t>
  </si>
  <si>
    <t>Laura Armstrong</t>
  </si>
  <si>
    <t>Fresno</t>
  </si>
  <si>
    <t>MF-17665</t>
  </si>
  <si>
    <t>Maureen Fritzler</t>
  </si>
  <si>
    <t>Toledo</t>
  </si>
  <si>
    <t>Ohio</t>
  </si>
  <si>
    <t>KB-16585</t>
  </si>
  <si>
    <t>Ken Black</t>
  </si>
  <si>
    <t>Seattle</t>
  </si>
  <si>
    <t>Washington</t>
  </si>
  <si>
    <t>JB-16000</t>
  </si>
  <si>
    <t>Joy Bell-</t>
  </si>
  <si>
    <t>Longview</t>
  </si>
  <si>
    <t>DE-13255</t>
  </si>
  <si>
    <t>Deanra Eno</t>
  </si>
  <si>
    <t>Springfield</t>
  </si>
  <si>
    <t>MP-17470</t>
  </si>
  <si>
    <t>Mark Packer</t>
  </si>
  <si>
    <t>Columbus</t>
  </si>
  <si>
    <t>AG-10675</t>
  </si>
  <si>
    <t>Anna Gayman</t>
  </si>
  <si>
    <t>Concord</t>
  </si>
  <si>
    <t>Dp-13240</t>
  </si>
  <si>
    <t>Dean percer</t>
  </si>
  <si>
    <t>Westfield</t>
  </si>
  <si>
    <t>New Jersey</t>
  </si>
  <si>
    <t>FIND CITY FROM CUST_ID:</t>
  </si>
  <si>
    <t>RC-19825</t>
  </si>
  <si>
    <t>Roy Collins</t>
  </si>
  <si>
    <t>Fairfield</t>
  </si>
  <si>
    <t>Connecticut</t>
  </si>
  <si>
    <t>WB-21850</t>
  </si>
  <si>
    <t>William Brown</t>
  </si>
  <si>
    <t>New York City</t>
  </si>
  <si>
    <t>New York</t>
  </si>
  <si>
    <t>BE-11335</t>
  </si>
  <si>
    <t>Bill Eplett</t>
  </si>
  <si>
    <t>EH-13945</t>
  </si>
  <si>
    <t>Eric Hoffmann</t>
  </si>
  <si>
    <t>CC-12430</t>
  </si>
  <si>
    <t>Chuck Clark</t>
  </si>
  <si>
    <t>New Hampshire</t>
  </si>
  <si>
    <t>DL-13495</t>
  </si>
  <si>
    <t>Dionis Lloyd</t>
  </si>
  <si>
    <t>Georgia</t>
  </si>
  <si>
    <t>TD-20995</t>
  </si>
  <si>
    <t>Tamara Dahlen</t>
  </si>
  <si>
    <t>San Diego</t>
  </si>
  <si>
    <t>PG-18895</t>
  </si>
  <si>
    <t>Paul Gonzalez</t>
  </si>
  <si>
    <t>Morristown</t>
  </si>
  <si>
    <t>CM-11935</t>
  </si>
  <si>
    <t>Carlos Meador</t>
  </si>
  <si>
    <t>Fayetteville</t>
  </si>
  <si>
    <t>MC-17275</t>
  </si>
  <si>
    <t>Marc Crier</t>
  </si>
  <si>
    <t>FP-14320</t>
  </si>
  <si>
    <t>Frank Preis</t>
  </si>
  <si>
    <t>BT-11530</t>
  </si>
  <si>
    <t>Bradley Talbott</t>
  </si>
  <si>
    <t>Cleveland</t>
  </si>
  <si>
    <t>TB-21280</t>
  </si>
  <si>
    <t>Toby Braunhardt</t>
  </si>
  <si>
    <t>CB-12415</t>
  </si>
  <si>
    <t>Christy Brittain</t>
  </si>
  <si>
    <t>CB-12535</t>
  </si>
  <si>
    <t>Claudia Bergmann</t>
  </si>
  <si>
    <t>Burlington</t>
  </si>
  <si>
    <t>Vermont</t>
  </si>
  <si>
    <t>HG-14965</t>
  </si>
  <si>
    <t>Henry Goldwyn</t>
  </si>
  <si>
    <t>Gulfport</t>
  </si>
  <si>
    <t>Mississippi</t>
  </si>
  <si>
    <t>TB-21355</t>
  </si>
  <si>
    <t>Todd Boyes</t>
  </si>
  <si>
    <t>Plainfield</t>
  </si>
  <si>
    <t>JD-15895</t>
  </si>
  <si>
    <t>Jonathan Doherty</t>
  </si>
  <si>
    <t>JF-15490</t>
  </si>
  <si>
    <t>Jeremy Farry</t>
  </si>
  <si>
    <t>San Francisco</t>
  </si>
  <si>
    <t>SC-20725</t>
  </si>
  <si>
    <t>Steven Cartwright</t>
  </si>
  <si>
    <t>TB-21250</t>
  </si>
  <si>
    <t>Tim Brockman</t>
  </si>
  <si>
    <t>HE-14800</t>
  </si>
  <si>
    <t>Harold Engle</t>
  </si>
  <si>
    <t>Chicago</t>
  </si>
  <si>
    <t>Illinois</t>
  </si>
  <si>
    <t>DF-13135</t>
  </si>
  <si>
    <t>David Flashing</t>
  </si>
  <si>
    <t>Rockford</t>
  </si>
  <si>
    <t>SC-20050</t>
  </si>
  <si>
    <t>Sample Company A</t>
  </si>
  <si>
    <t>AB-10150</t>
  </si>
  <si>
    <t>Aimee Bixby</t>
  </si>
  <si>
    <t>Dallas</t>
  </si>
  <si>
    <t>JK-15325</t>
  </si>
  <si>
    <t>Jason Klamczynski</t>
  </si>
  <si>
    <t>Atlantic City</t>
  </si>
  <si>
    <t>BF-11170</t>
  </si>
  <si>
    <t>Ben Ferrer</t>
  </si>
  <si>
    <t>Atlanta</t>
  </si>
  <si>
    <t>CK-12760</t>
  </si>
  <si>
    <t>Cyma Kinney</t>
  </si>
  <si>
    <t>Arlington</t>
  </si>
  <si>
    <t>Virginia</t>
  </si>
  <si>
    <t>SM-20950</t>
  </si>
  <si>
    <t>Suzanne McNair</t>
  </si>
  <si>
    <t>AB-10105</t>
  </si>
  <si>
    <t>Adrian Barton</t>
  </si>
  <si>
    <t>SE-20110</t>
  </si>
  <si>
    <t>Sanjit Engle</t>
  </si>
  <si>
    <t>NS-18640</t>
  </si>
  <si>
    <t>Noel Staavos</t>
  </si>
  <si>
    <t>Houston</t>
  </si>
  <si>
    <t>LC-17050</t>
  </si>
  <si>
    <t>Liz Carlisle</t>
  </si>
  <si>
    <t>Richmond</t>
  </si>
  <si>
    <t>Kentucky</t>
  </si>
  <si>
    <t>TB-21520</t>
  </si>
  <si>
    <t>Tracy Blumstein</t>
  </si>
  <si>
    <t>Sierra Vista</t>
  </si>
  <si>
    <t>Arizona</t>
  </si>
  <si>
    <t>Product ID</t>
  </si>
  <si>
    <t>Product Name</t>
  </si>
  <si>
    <t>Category</t>
  </si>
  <si>
    <t>Unit_Price</t>
  </si>
  <si>
    <t>FUR-BO-10004709</t>
  </si>
  <si>
    <t>Bush Westfield Collection Bookcases, Medium Cherry Finish</t>
  </si>
  <si>
    <t>Furniture</t>
  </si>
  <si>
    <t xml:space="preserve">$4.50 </t>
  </si>
  <si>
    <t xml:space="preserve">$20.00 </t>
  </si>
  <si>
    <t>TEC-PH-10000455</t>
  </si>
  <si>
    <t>GE 30522EE2</t>
  </si>
  <si>
    <t>Technology</t>
  </si>
  <si>
    <t xml:space="preserve">$6.00 </t>
  </si>
  <si>
    <t>OFF-ST-10003692</t>
  </si>
  <si>
    <t>Recycled Steel Personal File for Hanging File Folders</t>
  </si>
  <si>
    <t>Office Supplies</t>
  </si>
  <si>
    <t xml:space="preserve">$1.50 </t>
  </si>
  <si>
    <t>Cost_Price</t>
  </si>
  <si>
    <t>TEC-AC-10002217</t>
  </si>
  <si>
    <t>Imation Clip USB flash drive - 8 GB</t>
  </si>
  <si>
    <t xml:space="preserve">$4.00 </t>
  </si>
  <si>
    <t>TEC-AC-10002942</t>
  </si>
  <si>
    <t>WD My Passport Ultra 1TB Portable External Hard Drive</t>
  </si>
  <si>
    <t xml:space="preserve">$1.75 </t>
  </si>
  <si>
    <t>TEC-PH-10002890</t>
  </si>
  <si>
    <t>AT&amp;T 17929 Lendline Telephone</t>
  </si>
  <si>
    <t xml:space="preserve">$2.50 </t>
  </si>
  <si>
    <t>FUR-TA-10000617</t>
  </si>
  <si>
    <t>Hon Practical Foundations 30 x 60 Training Table, Light Gray/Charcoal</t>
  </si>
  <si>
    <t>OFF-BI-10004364</t>
  </si>
  <si>
    <t>Storex Dura Pro Binders</t>
  </si>
  <si>
    <t xml:space="preserve">$3.00 </t>
  </si>
  <si>
    <t>TEC-CO-10000971</t>
  </si>
  <si>
    <t>Hewlett Packard 310 Color Digital Copier</t>
  </si>
  <si>
    <t xml:space="preserve">$1.00 </t>
  </si>
  <si>
    <t>HLOOKUP TO FIND COST_PRICE FROM PRODUCT NAME</t>
  </si>
  <si>
    <t>OFF-AR-10004078</t>
  </si>
  <si>
    <t>Newell 312</t>
  </si>
  <si>
    <t xml:space="preserve">$1.60 </t>
  </si>
  <si>
    <t>OFF-BI-10002026</t>
  </si>
  <si>
    <t>Avery Arch Ring Binders</t>
  </si>
  <si>
    <t xml:space="preserve">$2.00 </t>
  </si>
  <si>
    <t>TEC-AC-10001714</t>
  </si>
  <si>
    <t>Logitech MX Performance Wireless Mouse</t>
  </si>
  <si>
    <t>OFF-AR-10003958</t>
  </si>
  <si>
    <t>Newell 337</t>
  </si>
  <si>
    <t>HLOOKUP TO FIND CATEGORY FROM PRODUCT ID:</t>
  </si>
  <si>
    <t>TEC-PH-10002923</t>
  </si>
  <si>
    <t>Logitech B530 USB Headset - headset - Full size, Binaural</t>
  </si>
  <si>
    <t>OFF-AR-10003696</t>
  </si>
  <si>
    <t>Panasonic KP-350BK Electric Pencil Sharpener with Auto Stop</t>
  </si>
  <si>
    <t xml:space="preserve">$7.00 </t>
  </si>
  <si>
    <t>FUR-FU-10004270</t>
  </si>
  <si>
    <t>Executive Impressions 13" Clairmont Wall Clock</t>
  </si>
  <si>
    <t>OFF-PA-10004621</t>
  </si>
  <si>
    <t>Xerox 212</t>
  </si>
  <si>
    <t xml:space="preserve">$8.00 </t>
  </si>
  <si>
    <t>FUR-BO-10002545</t>
  </si>
  <si>
    <t>Atlantic Metals Mobile 3-Shelf Bookcases, Custom Colors</t>
  </si>
  <si>
    <t>OFF-BI-10001460</t>
  </si>
  <si>
    <t>Plastic Binding Combs</t>
  </si>
  <si>
    <t>OFF-BI-10004236</t>
  </si>
  <si>
    <t>XtraLife ClearVue Slant-D Ring Binder, White, 3"</t>
  </si>
  <si>
    <t>OFF-AR-10001955</t>
  </si>
  <si>
    <t>Newell 319</t>
  </si>
  <si>
    <t xml:space="preserve">$12.00 </t>
  </si>
  <si>
    <t>TEC-PH-10004080</t>
  </si>
  <si>
    <t>Avaya 5410 Digital phone</t>
  </si>
  <si>
    <t>TEC-AC-10000420</t>
  </si>
  <si>
    <t>Logitech G500s Laser Gaming Mouse with Adjustable Weight Tuning</t>
  </si>
  <si>
    <t>TEC-PH-10002726</t>
  </si>
  <si>
    <t>netTALK DUO VoIP Telephone Service</t>
  </si>
  <si>
    <t>FUR-FU-10002445</t>
  </si>
  <si>
    <t>DAX Two-Tone Rosewood/Black Document Frame, Desktop, 5 x 7</t>
  </si>
  <si>
    <t>VLOOKUP TO FIND COST PRICE FROM PRODUCT ID:</t>
  </si>
  <si>
    <t>FUR-FU-10000076</t>
  </si>
  <si>
    <t>24-Hour Round Wall Clock</t>
  </si>
  <si>
    <t xml:space="preserve">$0.80 </t>
  </si>
  <si>
    <t>TEC-AC-10002335</t>
  </si>
  <si>
    <t>Logitech Media Keyboard K200</t>
  </si>
  <si>
    <t>FUR-FU-10000010</t>
  </si>
  <si>
    <t>DAX Value U-Channel Document Frames, Easel Back</t>
  </si>
  <si>
    <t xml:space="preserve">$5.00 </t>
  </si>
  <si>
    <t>VLOOKUP TO FIND CATEGORY FROM PRODUCT NAME:</t>
  </si>
  <si>
    <t>OFF-PA-10001166</t>
  </si>
  <si>
    <t>Xerox 2</t>
  </si>
  <si>
    <t>OFF-PA-10003656</t>
  </si>
  <si>
    <t>Xerox 1935</t>
  </si>
  <si>
    <t>TEC-PH-10000148</t>
  </si>
  <si>
    <t>Cyber Acoustics AC-202b Speech Recognition Stereo Headset</t>
  </si>
  <si>
    <t xml:space="preserve">$3.50 </t>
  </si>
  <si>
    <t>FUR-FU-10002268</t>
  </si>
  <si>
    <t>Ultra Door Push Plate</t>
  </si>
  <si>
    <t>OFF-PA-10004039</t>
  </si>
  <si>
    <t>Xerox 1882</t>
  </si>
  <si>
    <t xml:space="preserve">$30.00 </t>
  </si>
  <si>
    <t>FUR-FU-10003374</t>
  </si>
  <si>
    <t>Electrix Fluorescent Magnifier Lamps &amp; Weighted Base</t>
  </si>
  <si>
    <t xml:space="preserve">$9.00 </t>
  </si>
  <si>
    <t>OFF-EN-10003040</t>
  </si>
  <si>
    <t>Quality Park Security Envelopes</t>
  </si>
  <si>
    <t>OFF-AR-10001573</t>
  </si>
  <si>
    <t>American Pencil</t>
  </si>
  <si>
    <t>TEC-AC-10000844</t>
  </si>
  <si>
    <t>Logitech Gaming G510s - Keyboard</t>
  </si>
  <si>
    <t xml:space="preserve">$3.45 </t>
  </si>
  <si>
    <t>FUR-TA-10002903</t>
  </si>
  <si>
    <t>Bevis Round Bullnose 29" High Table Top</t>
  </si>
  <si>
    <t>OFF-EN-10001137</t>
  </si>
  <si>
    <t>#10 Gummed Flap White Envelopes, 100/Box</t>
  </si>
  <si>
    <t>OFF-PA-10004285</t>
  </si>
  <si>
    <t>Xerox 1959</t>
  </si>
  <si>
    <t>OFF-BI-10002225</t>
  </si>
  <si>
    <t>Square Ring Data Binders, Rigid 75 Pt. Covers, 11" x 14-7/8"</t>
  </si>
  <si>
    <t xml:space="preserve">$2.30 </t>
  </si>
  <si>
    <t>OFF-PA-10001033</t>
  </si>
  <si>
    <t>Xerox 1893</t>
  </si>
  <si>
    <t xml:space="preserve">$15.00 </t>
  </si>
  <si>
    <t>OFF-BI-10001634</t>
  </si>
  <si>
    <t>Wilson Jones Active Use Binders</t>
  </si>
  <si>
    <t>TEC-AC-10003027</t>
  </si>
  <si>
    <t>Imation 8GB Mini TravelDrive USB 2.0 Flash Drive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</si>
  <si>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</si>
  <si>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</si>
  <si>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</si>
  <si>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</si>
  <si>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</si>
  <si>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</si>
  <si>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TEC-AC-10001142</t>
  </si>
  <si>
    <t>First Data FD10 PIN Pad</t>
  </si>
  <si>
    <t>FUR-CH-10004289</t>
  </si>
  <si>
    <t>Global Super Steno Chair</t>
  </si>
  <si>
    <t>FUR-CH-10000785</t>
  </si>
  <si>
    <t>Global Ergonomic Managers Chair</t>
  </si>
  <si>
    <t>OFF-FA-10003472</t>
  </si>
  <si>
    <t>Bagged Rubber Bands</t>
  </si>
  <si>
    <t>FUR-FU-10002107</t>
  </si>
  <si>
    <t>Eldon Pizzaz Desk Accessories</t>
  </si>
  <si>
    <t xml:space="preserve">$3.40 </t>
  </si>
  <si>
    <t>FUR-BO-10002213</t>
  </si>
  <si>
    <t>Sauder Forest Hills Library, Woodland Oak Finish</t>
  </si>
  <si>
    <t>OFF-AP-10000692</t>
  </si>
  <si>
    <t>Fellowes Mighty 8 Compact Surge Protector</t>
  </si>
  <si>
    <t>FUR-FU-10001475</t>
  </si>
  <si>
    <t>Contract Clock, 14", Brown</t>
  </si>
  <si>
    <t>OFF-PA-10003953</t>
  </si>
  <si>
    <t>Xerox 218</t>
  </si>
  <si>
    <t>OFF-LA-10003498</t>
  </si>
  <si>
    <t>Avery 475</t>
  </si>
  <si>
    <t xml:space="preserve">$2.90 </t>
  </si>
  <si>
    <t>OFF-LA-10004484</t>
  </si>
  <si>
    <t>Avery 476</t>
  </si>
  <si>
    <t>TEC-PH-10004093</t>
  </si>
  <si>
    <t>Panasonic Kx-TS550</t>
  </si>
  <si>
    <t>TEC-AC-10000171</t>
  </si>
  <si>
    <t>Verbatim 25 GB 6x Blu-ray Single Layer Recordable Disc, 25/Pack</t>
  </si>
  <si>
    <t>OFF-BI-10004506</t>
  </si>
  <si>
    <t>Wilson Jones data.warehouse D-Ring Binders with DublLock</t>
  </si>
  <si>
    <t>FUR-FU-10000719</t>
  </si>
  <si>
    <t>DAX Cubicle Frames, 8-1/2 x 11</t>
  </si>
  <si>
    <t xml:space="preserve">$4.45 </t>
  </si>
  <si>
    <t>TEC-AC-10002926</t>
  </si>
  <si>
    <t>Logitech Wireless Marathon Mouse M705</t>
  </si>
  <si>
    <t>OFF-AR-10003477</t>
  </si>
  <si>
    <t>4009 Highlighters</t>
  </si>
  <si>
    <t>OFF-ST-10001526</t>
  </si>
  <si>
    <t>Iceberg Mobile Mega Data/Printer Cart</t>
  </si>
  <si>
    <t>OFF-BI-10000285</t>
  </si>
  <si>
    <t>XtraLife ClearVue Slant-D Ring Binders by Cardinal</t>
  </si>
  <si>
    <t xml:space="preserve">$25.00 </t>
  </si>
  <si>
    <t>OFF-AR-10000315</t>
  </si>
  <si>
    <t>Dixon Ticonderoga Maple Cedar Pencil, #2</t>
  </si>
  <si>
    <t xml:space="preserve">$1.80 </t>
  </si>
  <si>
    <t>OFF-PA-10000007</t>
  </si>
  <si>
    <t>Telephone Message Books with Fax/Mobile Section, 4 1/4" x 6"</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</si>
  <si>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</si>
  <si>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</si>
  <si>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</si>
  <si>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</si>
  <si>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</si>
  <si>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</si>
  <si>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</si>
  <si>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</si>
  <si>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OFF-AR-10000588</t>
  </si>
  <si>
    <t>Newell 345</t>
  </si>
  <si>
    <t>OFF-BI-10000014</t>
  </si>
  <si>
    <t>Heavy-Duty E-Z-D Binders</t>
  </si>
  <si>
    <t>OFF-ST-10000675</t>
  </si>
  <si>
    <t>File Shuttle II and Handi-File, Black</t>
  </si>
  <si>
    <t>OFF-BI-10004781</t>
  </si>
  <si>
    <t>GBC Wire Binding Strips</t>
  </si>
  <si>
    <t>OFF-LA-10004689</t>
  </si>
  <si>
    <t>Avery 512</t>
  </si>
  <si>
    <t>FUR-CH-10001190</t>
  </si>
  <si>
    <t>Global Deluxe High-Back Office Chair in Storm</t>
  </si>
  <si>
    <t xml:space="preserve">$1.20 </t>
  </si>
  <si>
    <t>FUR-BO-10000468</t>
  </si>
  <si>
    <t>O'Sullivan 2-Shelf Heavy-Duty Bookcases</t>
  </si>
  <si>
    <t>OFF-PA-10003892</t>
  </si>
  <si>
    <t>Xerox 1943</t>
  </si>
  <si>
    <t>TEC-PH-10004241</t>
  </si>
  <si>
    <t>Nokia Lumia 1020</t>
  </si>
  <si>
    <t>OFF-BI-10000546</t>
  </si>
  <si>
    <t>Avery Durable Binders</t>
  </si>
  <si>
    <t>FUR-TA-10004256</t>
  </si>
  <si>
    <t>Bretford “Just In Time” Height-Adjustable Multi-Task Work Tables</t>
  </si>
  <si>
    <t xml:space="preserve">$2.40 </t>
  </si>
  <si>
    <t>TEC-PH-10004120</t>
  </si>
  <si>
    <t>AT&amp;T 1080 Phone</t>
  </si>
  <si>
    <t>OFF-PA-10002764</t>
  </si>
  <si>
    <t>Easy-staple paper</t>
  </si>
  <si>
    <t>OFF-PA-10003936</t>
  </si>
  <si>
    <t>Xerox 1994</t>
  </si>
  <si>
    <t>OFF-EN-10003134</t>
  </si>
  <si>
    <t>Staple envelope</t>
  </si>
  <si>
    <t>OFF-BI-10003527</t>
  </si>
  <si>
    <t>Fellowes PB500 Electric Punch Plastic Comb Binding Machine with Manual Bind</t>
  </si>
  <si>
    <t>OFF-EN-10004483</t>
  </si>
  <si>
    <t>#10 White Business Envelopes,4 1/8 x 9 1/2</t>
  </si>
  <si>
    <t>OFF-ST-10002214</t>
  </si>
  <si>
    <t>X-Rack File for Hanging Folders</t>
  </si>
  <si>
    <t xml:space="preserve">$10.00 </t>
  </si>
  <si>
    <t>OFF-PA-10002254</t>
  </si>
  <si>
    <t>Xerox 1883</t>
  </si>
  <si>
    <t>OFF-ST-10003994</t>
  </si>
  <si>
    <t>Belkin 19" Center-Weighted Shelf, Gray</t>
  </si>
  <si>
    <t>TEC-MA-10001127</t>
  </si>
  <si>
    <t>HP Designjet T520 Inkjet Large Format Printer - 24" Color</t>
  </si>
  <si>
    <t>OFF-BI-10002557</t>
  </si>
  <si>
    <t>Presstex Flexible Ring Binders</t>
  </si>
  <si>
    <t>FUR-FU-10001731</t>
  </si>
  <si>
    <t>Acrylic Self-Standing Desk Frames</t>
  </si>
  <si>
    <t>FUR-FU-10003601</t>
  </si>
  <si>
    <t>Deflect-o RollaMat Studded, Beveled Mat for Medium Pile Carpeting</t>
  </si>
  <si>
    <t xml:space="preserve">$4.75 </t>
  </si>
  <si>
    <t>FUR-CH-10000015</t>
  </si>
  <si>
    <t>Hon Multipurpose Stacking Arm Chairs</t>
  </si>
  <si>
    <t>FUR-FU-10002088</t>
  </si>
  <si>
    <t>Nu-Dell Float Frame 11 x 14 1/2</t>
  </si>
  <si>
    <t>ProductID</t>
  </si>
  <si>
    <t>Reorder_Level</t>
  </si>
  <si>
    <t>Current_stock</t>
  </si>
  <si>
    <t>HLOOKUP TO FIND REORDER_LEVEL FROM PRODUCT_ID</t>
  </si>
  <si>
    <t>HLOOKUP TO FIND CURRENT STOCK FROM PRODUCT ID</t>
  </si>
  <si>
    <t xml:space="preserve"> CALCULATIONS</t>
  </si>
  <si>
    <t>SUM</t>
  </si>
  <si>
    <t>SUMIF(STOCK)</t>
  </si>
  <si>
    <t>SUMIFS(STOCK)</t>
  </si>
  <si>
    <t>AVG</t>
  </si>
  <si>
    <t>VLOOKUP TO FIND CURRENT STOCK FOR REORDER_LEVEL :</t>
  </si>
  <si>
    <t>AVGIF</t>
  </si>
  <si>
    <t>AVGIFS</t>
  </si>
  <si>
    <t>VLOOKUPP TO FIND REORDER_LEVEL FROM PRODUCT ID:</t>
  </si>
  <si>
    <t>Order ID</t>
  </si>
  <si>
    <t>Order Date</t>
  </si>
  <si>
    <t>Sales</t>
  </si>
  <si>
    <t>Quantity</t>
  </si>
  <si>
    <t>Profit</t>
  </si>
  <si>
    <t>CA-2019-160304</t>
  </si>
  <si>
    <t>CA-2019-125206</t>
  </si>
  <si>
    <t>US-2019-116365</t>
  </si>
  <si>
    <t>CA-2019-105207</t>
  </si>
  <si>
    <t>US-2019-164630</t>
  </si>
  <si>
    <t>CA-2019-158211</t>
  </si>
  <si>
    <t>To find sales for the productID:</t>
  </si>
  <si>
    <t>CA-2019-134474</t>
  </si>
  <si>
    <t>CA-2019-101938</t>
  </si>
  <si>
    <t>CA-2019-158806</t>
  </si>
  <si>
    <t>CALCULATION</t>
  </si>
  <si>
    <t>US-2019-100461</t>
  </si>
  <si>
    <t>US-2019-137295</t>
  </si>
  <si>
    <t xml:space="preserve">TOTAL SUM = </t>
  </si>
  <si>
    <t>CA-2019-108882</t>
  </si>
  <si>
    <t>SUMIF (PROFIT)</t>
  </si>
  <si>
    <t>SUMIFS(PROFIT)</t>
  </si>
  <si>
    <t>CA-2019-126543</t>
  </si>
  <si>
    <t>AVERAGE</t>
  </si>
  <si>
    <t>CA-2019-116547</t>
  </si>
  <si>
    <t>AVERAGEIF</t>
  </si>
  <si>
    <t>To find sales for the productID:TEC-PH-10002923</t>
  </si>
  <si>
    <t>AVERAGEIFS</t>
  </si>
  <si>
    <t>CA-2019-163937</t>
  </si>
  <si>
    <t>CA-2019-126529</t>
  </si>
  <si>
    <t>To find profit for sales: 1565.88</t>
  </si>
  <si>
    <t>CA-2019-141887</t>
  </si>
  <si>
    <t>CA-2019-133368</t>
  </si>
  <si>
    <t>1/14/2019</t>
  </si>
  <si>
    <t>CA-2019-152072</t>
  </si>
  <si>
    <t>1/15/2019</t>
  </si>
  <si>
    <t>CA-2019-140746</t>
  </si>
  <si>
    <t>CA-2019-137848</t>
  </si>
  <si>
    <t>CA-2019-166912</t>
  </si>
  <si>
    <t>CA-2019-121755</t>
  </si>
  <si>
    <t>1/16/2019</t>
  </si>
  <si>
    <t>CA-2019-116736</t>
  </si>
  <si>
    <t>1/17/2019</t>
  </si>
  <si>
    <t>CA-2019-106558</t>
  </si>
  <si>
    <t>US-2019-167339</t>
  </si>
  <si>
    <t>1/21/2019</t>
  </si>
  <si>
    <t>CA-2019-111010</t>
  </si>
  <si>
    <t>1/22/2019</t>
  </si>
  <si>
    <t>US-2019-135923</t>
  </si>
  <si>
    <t>CA-2019-138079</t>
  </si>
  <si>
    <t>CA-2019-146318</t>
  </si>
  <si>
    <t>CA-2019-125850</t>
  </si>
  <si>
    <t>CA-2019-148208</t>
  </si>
  <si>
    <t>US-2019-155180</t>
  </si>
  <si>
    <t>CA-2019-113656</t>
  </si>
  <si>
    <t>1/23/2019</t>
  </si>
  <si>
    <t>US-2019-165505</t>
  </si>
  <si>
    <t>CA-2019-109407</t>
  </si>
  <si>
    <t>1/24/2019</t>
  </si>
  <si>
    <t>CA-2019-153346</t>
  </si>
  <si>
    <t>1/25/2019</t>
  </si>
  <si>
    <t>CA-2019-168046</t>
  </si>
  <si>
    <t>CA-2019-146437</t>
  </si>
  <si>
    <t>1/28/2019</t>
  </si>
  <si>
    <t>CA-2019-164483</t>
  </si>
  <si>
    <t>1/30/2019</t>
  </si>
  <si>
    <t>CA-2019-153661</t>
  </si>
  <si>
    <t>US-2019-166660</t>
  </si>
  <si>
    <t>CA-2019-114944</t>
  </si>
  <si>
    <t>CA-2019-168032</t>
  </si>
  <si>
    <t>CA-2019-129238</t>
  </si>
  <si>
    <t>1/31/2019</t>
  </si>
  <si>
    <t>CA-2019-147970</t>
  </si>
  <si>
    <t>CA-2019-158043</t>
  </si>
  <si>
    <t>CA-2019-159891</t>
  </si>
  <si>
    <t>US-2019-140809</t>
  </si>
  <si>
    <t>CA-2019-154067</t>
  </si>
  <si>
    <t>CA-2019-147431</t>
  </si>
  <si>
    <t>CA-2019-158841</t>
  </si>
  <si>
    <t>CA-2019-144645</t>
  </si>
  <si>
    <t>CA-2019-118514</t>
  </si>
  <si>
    <t>CA-2019-117912</t>
  </si>
  <si>
    <t>Month</t>
  </si>
  <si>
    <t>Target Sales</t>
  </si>
  <si>
    <t>vlookup</t>
  </si>
  <si>
    <t>hlookup</t>
  </si>
  <si>
    <t>TARGET SALES FROM MONTH</t>
  </si>
  <si>
    <t>MONTH</t>
  </si>
  <si>
    <t>(All)</t>
  </si>
  <si>
    <t>Row Labels</t>
  </si>
  <si>
    <t>Count of Segment</t>
  </si>
  <si>
    <t>Grand Total</t>
  </si>
  <si>
    <t>Count of Unit_Price</t>
  </si>
  <si>
    <t>Column Labels</t>
  </si>
  <si>
    <t>Sum of Reorder_Level</t>
  </si>
  <si>
    <t>Sum of Sales</t>
  </si>
  <si>
    <t>Sum of Quantity</t>
  </si>
  <si>
    <t>Sum of Profit</t>
  </si>
  <si>
    <t>Quarters (Month)</t>
  </si>
  <si>
    <t>Years (Month)</t>
  </si>
  <si>
    <t>Sum of Target Sales</t>
  </si>
  <si>
    <t>Count of Months (Month)</t>
  </si>
  <si>
    <t>Jan</t>
  </si>
  <si>
    <t>Feb</t>
  </si>
  <si>
    <t>Mar</t>
  </si>
  <si>
    <t>Apr</t>
  </si>
  <si>
    <t>May</t>
  </si>
  <si>
    <t>Jun</t>
  </si>
  <si>
    <t>Jul</t>
  </si>
  <si>
    <t>Aug</t>
  </si>
  <si>
    <t>Sep</t>
  </si>
  <si>
    <t>Oct</t>
  </si>
  <si>
    <t>Nov</t>
  </si>
  <si>
    <t>Dec</t>
  </si>
  <si>
    <t>customers!A1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</si>
</sst>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b/>
      <sz val="11"/>
      <color theme="1"/>
      <name val="Calibri"/>
      <family val="2"/>
      <scheme val="minor"/>
    </font>
    <font>
      <sz val="11"/>
      <color rgb="FF000000"/>
      <name val="Calibri"/>
      <family val="2"/>
      <scheme val="minor"/>
    </font>
    <font>
      <i/>
      <sz val="26"/>
      <color theme="8" tint="0.39997558519241921"/>
      <name val="Calibri"/>
      <family val="2"/>
      <scheme val="minor"/>
    </font>
    <font>
      <sz val="26"/>
      <color theme="1"/>
      <name val="Calibri"/>
      <family val="2"/>
      <scheme val="minor"/>
    </font>
    <font>
      <b/>
      <i/>
      <sz val="24"/>
      <color theme="8" tint="0.39997558519241921"/>
      <name val="Calibri"/>
      <family val="2"/>
      <scheme val="minor"/>
    </font>
    <font>
      <sz val="11"/>
      <color theme="8" tint="0.39997558519241921"/>
      <name val="Calibri"/>
      <family val="2"/>
      <scheme val="minor"/>
    </font>
    <font>
      <b/>
      <i/>
      <sz val="24"/>
      <color theme="1"/>
      <name val="Calibri"/>
      <family val="2"/>
      <scheme val="minor"/>
    </font>
    <font>
      <b/>
      <i/>
      <sz val="22"/>
      <color rgb="FF7030A0"/>
      <name val="Calibri"/>
      <family val="2"/>
      <scheme val="minor"/>
    </font>
    <font>
      <b/>
      <i/>
      <sz val="24"/>
      <color rgb="FF7030A0"/>
      <name val="Aptos Narrow"/>
      <family val="2"/>
    </font>
    <font>
      <sz val="24"/>
      <color theme="1"/>
      <name val="Calibri"/>
      <family val="2"/>
      <scheme val="minor"/>
    </font>
    <font>
      <b/>
      <i/>
      <sz val="20"/>
      <color rgb="FF7030A0"/>
      <name val="Calibri"/>
      <family val="2"/>
      <scheme val="minor"/>
    </font>
    <font>
      <b/>
      <i/>
      <sz val="16"/>
      <color theme="8" tint="0.3999755851924192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3" fillId="0" borderId="0" applyNumberFormat="0" applyFill="0" applyBorder="0" applyAlignment="0" applyProtection="0"/>
  </cellStyleXfs>
  <cellXfs count="28">
    <xf numFmtId="0" fontId="0" fillId="0" borderId="0" xfId="0"/>
    <xf numFmtId="0" fontId="2" fillId="0" borderId="0" xfId="0" applyFont="1"/>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0" fillId="0" borderId="0" xfId="0" applyAlignment="1">
      <alignment horizontal="center"/>
    </xf>
    <xf numFmtId="14" fontId="0" fillId="0" borderId="0" xfId="0" applyNumberFormat="1"/>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10" fillId="0" borderId="0" xfId="0" applyFont="1" applyAlignment="1">
      <alignment horizontal="center"/>
    </xf>
    <xf numFmtId="164" fontId="0" fillId="0" borderId="0" xfId="0" applyNumberFormat="1"/>
    <xf numFmtId="0" fontId="1" fillId="0" borderId="0" xfId="0" applyFont="1"/>
    <xf numFmtId="0" fontId="11" fillId="0" borderId="0" xfId="0" applyFont="1" applyAlignment="1">
      <alignment horizontal="center"/>
    </xf>
    <xf numFmtId="0" fontId="1" fillId="0" borderId="0" xfId="0" applyFont="1" applyAlignment="1">
      <alignment horizontal="center" vertical="center" wrapText="1"/>
    </xf>
    <xf numFmtId="0" fontId="1" fillId="0" borderId="0" xfId="0" applyFont="1" applyAlignment="1">
      <alignment horizontal="right" vertical="center" wrapText="1"/>
    </xf>
    <xf numFmtId="0" fontId="12" fillId="0" borderId="0" xfId="0" applyFont="1" applyAlignment="1">
      <alignment horizontal="center" vertical="center"/>
    </xf>
    <xf numFmtId="0" fontId="0" fillId="0" borderId="0" xfId="0" applyAlignment="1">
      <alignment horizontal="center" vertical="center"/>
    </xf>
    <xf numFmtId="17" fontId="0" fillId="0" borderId="0" xfId="0" applyNumberFormat="1" applyAlignment="1">
      <alignment vertical="center" wrapText="1"/>
    </xf>
    <xf numFmtId="0" fontId="0" fillId="0" borderId="0" xfId="0" applyAlignment="1">
      <alignment horizontal="right" vertical="center" wrapText="1"/>
    </xf>
    <xf numFmtId="0" fontId="0" fillId="0" borderId="0" xfId="0" applyAlignment="1">
      <alignment horizontal="left"/>
    </xf>
    <xf numFmtId="0" fontId="0" fillId="0" borderId="0" xfId="0" pivotButton="1"/>
    <xf numFmtId="0" fontId="0" fillId="0" borderId="0" xfId="0" applyNumberFormat="1"/>
    <xf numFmtId="14" fontId="0" fillId="0" borderId="0" xfId="0" applyNumberFormat="1" applyAlignment="1">
      <alignment horizontal="left"/>
    </xf>
    <xf numFmtId="0" fontId="13" fillId="0" borderId="0" xfId="1"/>
  </cellXfs>
  <cellStyles count="2">
    <cellStyle name="Hyperlink" xfId="1" builtinId="8"/>
    <cellStyle name="Normal" xfId="0" builtinId="0"/>
  </cellStyles>
  <dxfs count="1">
    <dxf>
      <numFmt numFmtId="19" formatCode="dd/mm/yyyy"/>
    </dxf>
  </dxfs>
  <tableStyles count="0" defaultTableStyle="TableStyleMedium2" defaultPivotStyle="PivotStyleLight16"/>
  <colors>
    <mruColors>
      <color rgb="FFFFFFFF"/>
      <color rgb="FFFF9900"/>
      <color rgb="FF660066"/>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ivotCacheDefinition" Target="pivotCache/pivotCacheDefinition5.xml"/><Relationship Id="rId25" Type="http://schemas.microsoft.com/office/2007/relationships/slicerCache" Target="slicerCaches/slicerCache8.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3.xml"/><Relationship Id="rId29"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microsoft.com/office/2007/relationships/slicerCache" Target="slicerCaches/slicerCache7.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6.xml"/><Relationship Id="rId28" Type="http://schemas.microsoft.com/office/2007/relationships/slicerCache" Target="slicerCaches/slicerCache11.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5.xml"/><Relationship Id="rId27" Type="http://schemas.microsoft.com/office/2007/relationships/slicerCache" Target="slicerCaches/slicerCache10.xml"/><Relationship Id="rId30" Type="http://schemas.microsoft.com/office/2007/relationships/slicerCache" Target="slicerCaches/slicerCache13.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[sample.xlsx]CUST-TABLE!PivotTable9</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'CUST-TABLE'!$R$21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'CUST-TABLE'!$Q$22:$Q$64</c:f>
              <c:strCache>
                <c:ptCount val="42"/>
                <c:pt idx="0">
                  <c:v>AG-10675</c:v>
                </c:pt>
                <c:pt idx="1">
                  <c:v>AJ-10795</c:v>
                </c:pt>
                <c:pt idx="2">
                  <c:v>BE-11335</c:v>
                </c:pt>
                <c:pt idx="3">
                  <c:v>BM-11575</c:v>
                </c:pt>
                <c:pt idx="4">
                  <c:v>BO-11350</c:v>
                </c:pt>
                <c:pt idx="5">
                  <c:v>BP-11185</c:v>
                </c:pt>
                <c:pt idx="6">
                  <c:v>BT-11530</c:v>
                </c:pt>
                <c:pt idx="7">
                  <c:v>CA-12310</c:v>
                </c:pt>
                <c:pt idx="8">
                  <c:v>CB-12415</c:v>
                </c:pt>
                <c:pt idx="9">
                  <c:v>CB-12535</c:v>
                </c:pt>
                <c:pt idx="10">
                  <c:v>CC-12430</c:v>
                </c:pt>
                <c:pt idx="11">
                  <c:v>CM-11935</c:v>
                </c:pt>
                <c:pt idx="12">
                  <c:v>DE-13255</c:v>
                </c:pt>
                <c:pt idx="13">
                  <c:v>DF-13135</c:v>
                </c:pt>
                <c:pt idx="14">
                  <c:v>DL-13495</c:v>
                </c:pt>
                <c:pt idx="15">
                  <c:v>Dp-13240</c:v>
                </c:pt>
                <c:pt idx="16">
                  <c:v>DW-13480</c:v>
                </c:pt>
                <c:pt idx="17">
                  <c:v>EB-13975</c:v>
                </c:pt>
                <c:pt idx="18">
                  <c:v>EH-13945</c:v>
                </c:pt>
                <c:pt idx="19">
                  <c:v>FP-14320</c:v>
                </c:pt>
                <c:pt idx="20">
                  <c:v>HE-14800</c:v>
                </c:pt>
                <c:pt idx="21">
                  <c:v>HG-14965</c:v>
                </c:pt>
                <c:pt idx="22">
                  <c:v>JB-16000</c:v>
                </c:pt>
                <c:pt idx="23">
                  <c:v>JD-15895</c:v>
                </c:pt>
                <c:pt idx="24">
                  <c:v>JF-15490</c:v>
                </c:pt>
                <c:pt idx="25">
                  <c:v>JO-15145</c:v>
                </c:pt>
                <c:pt idx="26">
                  <c:v>KB-16585</c:v>
                </c:pt>
                <c:pt idx="27">
                  <c:v>LA-16780</c:v>
                </c:pt>
                <c:pt idx="28">
                  <c:v>LR-16915</c:v>
                </c:pt>
                <c:pt idx="29">
                  <c:v>MC-17275</c:v>
                </c:pt>
                <c:pt idx="30">
                  <c:v>MF-17665</c:v>
                </c:pt>
                <c:pt idx="31">
                  <c:v>MP-17470</c:v>
                </c:pt>
                <c:pt idx="32">
                  <c:v>NM-18520</c:v>
                </c:pt>
                <c:pt idx="33">
                  <c:v>PG-18895</c:v>
                </c:pt>
                <c:pt idx="34">
                  <c:v>RC-19825</c:v>
                </c:pt>
                <c:pt idx="35">
                  <c:v>SC-20725</c:v>
                </c:pt>
                <c:pt idx="36">
                  <c:v>TB-21250</c:v>
                </c:pt>
                <c:pt idx="37">
                  <c:v>TB-21280</c:v>
                </c:pt>
                <c:pt idx="38">
                  <c:v>TB-21355</c:v>
                </c:pt>
                <c:pt idx="39">
                  <c:v>TD-20995</c:v>
                </c:pt>
                <c:pt idx="40">
                  <c:v>VS-21820</c:v>
                </c:pt>
                <c:pt idx="41">
                  <c:v>WB-21850</c:v>
                </c:pt>
              </c:strCache>
            </c:strRef>
          </c:cat>
          <c:val>
            <c:numRef>
              <c:f>'CUST-TABLE'!$R$22:$R$64</c:f>
              <c:numCache>
                <c:formatCode>General</c:formatCode>
                <c:ptCount val="42"/>
                <c:pt idx="0">
                  <c:v>2</c:v>
                </c:pt>
                <c:pt idx="1">
                  <c:v>4</c:v>
                </c:pt>
                <c:pt idx="2">
                  <c:v>1</c:v>
                </c:pt>
                <c:pt idx="3">
                  <c:v>3</c:v>
                </c:pt>
                <c:pt idx="4">
                  <c:v>2</c:v>
                </c:pt>
                <c:pt idx="5">
                  <c:v>2</c:v>
                </c:pt>
                <c:pt idx="6">
                  <c:v>2</c:v>
                </c:pt>
                <c:pt idx="7">
                  <c:v>3</c:v>
                </c:pt>
                <c:pt idx="8">
                  <c:v>1</c:v>
                </c:pt>
                <c:pt idx="9">
                  <c:v>3</c:v>
                </c:pt>
                <c:pt idx="10">
                  <c:v>3</c:v>
                </c:pt>
                <c:pt idx="11">
                  <c:v>3</c:v>
                </c:pt>
                <c:pt idx="12">
                  <c:v>3</c:v>
                </c:pt>
                <c:pt idx="13">
                  <c:v>2</c:v>
                </c:pt>
                <c:pt idx="14">
                  <c:v>1</c:v>
                </c:pt>
                <c:pt idx="15">
                  <c:v>3</c:v>
                </c:pt>
                <c:pt idx="16">
                  <c:v>1</c:v>
                </c:pt>
                <c:pt idx="17">
                  <c:v>1</c:v>
                </c:pt>
                <c:pt idx="18">
                  <c:v>2</c:v>
                </c:pt>
                <c:pt idx="19">
                  <c:v>2</c:v>
                </c:pt>
                <c:pt idx="20">
                  <c:v>1</c:v>
                </c:pt>
                <c:pt idx="21">
                  <c:v>2</c:v>
                </c:pt>
                <c:pt idx="22">
                  <c:v>1</c:v>
                </c:pt>
                <c:pt idx="23">
                  <c:v>4</c:v>
                </c:pt>
                <c:pt idx="24">
                  <c:v>1</c:v>
                </c:pt>
                <c:pt idx="25">
                  <c:v>2</c:v>
                </c:pt>
                <c:pt idx="26">
                  <c:v>2</c:v>
                </c:pt>
                <c:pt idx="27">
                  <c:v>2</c:v>
                </c:pt>
                <c:pt idx="28">
                  <c:v>1</c:v>
                </c:pt>
                <c:pt idx="29">
                  <c:v>1</c:v>
                </c:pt>
                <c:pt idx="30">
                  <c:v>1</c:v>
                </c:pt>
                <c:pt idx="31">
                  <c:v>1</c:v>
                </c:pt>
                <c:pt idx="32">
                  <c:v>2</c:v>
                </c:pt>
                <c:pt idx="33">
                  <c:v>1</c:v>
                </c:pt>
                <c:pt idx="34">
                  <c:v>1</c:v>
                </c:pt>
                <c:pt idx="35">
                  <c:v>3</c:v>
                </c:pt>
                <c:pt idx="36">
                  <c:v>2</c:v>
                </c:pt>
                <c:pt idx="37">
                  <c:v>1</c:v>
                </c:pt>
                <c:pt idx="38">
                  <c:v>2</c:v>
                </c:pt>
                <c:pt idx="39">
                  <c:v>2</c:v>
                </c:pt>
                <c:pt idx="40">
                  <c:v>3</c:v>
                </c:pt>
                <c:pt idx="41">
                  <c:v>3</c:v>
                </c:pt>
              </c:numCache>
            </c:numRef>
          </c:val>
          <c:extLst>
            <c:ext xmlns:c16="http://schemas.microsoft.com/office/drawing/2014/chart" uri="{C3380CC4-5D6E-409C-BE32-E72D297353CC}">
              <c16:uniqueId val="{00000000-45BA-423F-BF50-AB00DE31686E}"/>
            </c:ext>
          </c:extLst>
        </c:ser>
        <c:dLbls>
          <c:showLegendKey val="0"/>
          <c:showVal val="0"/>
          <c:showCatName val="0"/>
          <c:showSerName val="0"/>
          <c:showPercent val="0"/>
          <c:showBubbleSize val="0"/>
        </c:dLbls>
        <c:gapWidth val="100"/>
        <c:overlap val="-24"/>
        <c:axId val="823171264"/>
        <c:axId val="823171744"/>
      </c:barChart>
      <c:catAx>
        <c:axId val="823171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171744"/>
        <c:crosses val="autoZero"/>
        <c:auto val="1"/>
        <c:lblAlgn val="ctr"/>
        <c:lblOffset val="100"/>
        <c:noMultiLvlLbl val="0"/>
      </c:catAx>
      <c:valAx>
        <c:axId val="823171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17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[sample.xlsx]CUST-TABLE!PivotTable9</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'CUST-TABLE'!$R$21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'CUST-TABLE'!$Q$22:$Q$64</c:f>
              <c:strCache>
                <c:ptCount val="42"/>
                <c:pt idx="0">
                  <c:v>AG-10675</c:v>
                </c:pt>
                <c:pt idx="1">
                  <c:v>AJ-10795</c:v>
                </c:pt>
                <c:pt idx="2">
                  <c:v>BE-11335</c:v>
                </c:pt>
                <c:pt idx="3">
                  <c:v>BM-11575</c:v>
                </c:pt>
                <c:pt idx="4">
                  <c:v>BO-11350</c:v>
                </c:pt>
                <c:pt idx="5">
                  <c:v>BP-11185</c:v>
                </c:pt>
                <c:pt idx="6">
                  <c:v>BT-11530</c:v>
                </c:pt>
                <c:pt idx="7">
                  <c:v>CA-12310</c:v>
                </c:pt>
                <c:pt idx="8">
                  <c:v>CB-12415</c:v>
                </c:pt>
                <c:pt idx="9">
                  <c:v>CB-12535</c:v>
                </c:pt>
                <c:pt idx="10">
                  <c:v>CC-12430</c:v>
                </c:pt>
                <c:pt idx="11">
                  <c:v>CM-11935</c:v>
                </c:pt>
                <c:pt idx="12">
                  <c:v>DE-13255</c:v>
                </c:pt>
                <c:pt idx="13">
                  <c:v>DF-13135</c:v>
                </c:pt>
                <c:pt idx="14">
                  <c:v>DL-13495</c:v>
                </c:pt>
                <c:pt idx="15">
                  <c:v>Dp-13240</c:v>
                </c:pt>
                <c:pt idx="16">
                  <c:v>DW-13480</c:v>
                </c:pt>
                <c:pt idx="17">
                  <c:v>EB-13975</c:v>
                </c:pt>
                <c:pt idx="18">
                  <c:v>EH-13945</c:v>
                </c:pt>
                <c:pt idx="19">
                  <c:v>FP-14320</c:v>
                </c:pt>
                <c:pt idx="20">
                  <c:v>HE-14800</c:v>
                </c:pt>
                <c:pt idx="21">
                  <c:v>HG-14965</c:v>
                </c:pt>
                <c:pt idx="22">
                  <c:v>JB-16000</c:v>
                </c:pt>
                <c:pt idx="23">
                  <c:v>JD-15895</c:v>
                </c:pt>
                <c:pt idx="24">
                  <c:v>JF-15490</c:v>
                </c:pt>
                <c:pt idx="25">
                  <c:v>JO-15145</c:v>
                </c:pt>
                <c:pt idx="26">
                  <c:v>KB-16585</c:v>
                </c:pt>
                <c:pt idx="27">
                  <c:v>LA-16780</c:v>
                </c:pt>
                <c:pt idx="28">
                  <c:v>LR-16915</c:v>
                </c:pt>
                <c:pt idx="29">
                  <c:v>MC-17275</c:v>
                </c:pt>
                <c:pt idx="30">
                  <c:v>MF-17665</c:v>
                </c:pt>
                <c:pt idx="31">
                  <c:v>MP-17470</c:v>
                </c:pt>
                <c:pt idx="32">
                  <c:v>NM-18520</c:v>
                </c:pt>
                <c:pt idx="33">
                  <c:v>PG-18895</c:v>
                </c:pt>
                <c:pt idx="34">
                  <c:v>RC-19825</c:v>
                </c:pt>
                <c:pt idx="35">
                  <c:v>SC-20725</c:v>
                </c:pt>
                <c:pt idx="36">
                  <c:v>TB-21250</c:v>
                </c:pt>
                <c:pt idx="37">
                  <c:v>TB-21280</c:v>
                </c:pt>
                <c:pt idx="38">
                  <c:v>TB-21355</c:v>
                </c:pt>
                <c:pt idx="39">
                  <c:v>TD-20995</c:v>
                </c:pt>
                <c:pt idx="40">
                  <c:v>VS-21820</c:v>
                </c:pt>
                <c:pt idx="41">
                  <c:v>WB-21850</c:v>
                </c:pt>
              </c:strCache>
            </c:strRef>
          </c:cat>
          <c:val>
            <c:numRef>
              <c:f>'CUST-TABLE'!$R$22:$R$64</c:f>
              <c:numCache>
                <c:formatCode>General</c:formatCode>
                <c:ptCount val="42"/>
                <c:pt idx="0">
                  <c:v>2</c:v>
                </c:pt>
                <c:pt idx="1">
                  <c:v>4</c:v>
                </c:pt>
                <c:pt idx="2">
                  <c:v>1</c:v>
                </c:pt>
                <c:pt idx="3">
                  <c:v>3</c:v>
                </c:pt>
                <c:pt idx="4">
                  <c:v>2</c:v>
                </c:pt>
                <c:pt idx="5">
                  <c:v>2</c:v>
                </c:pt>
                <c:pt idx="6">
                  <c:v>2</c:v>
                </c:pt>
                <c:pt idx="7">
                  <c:v>3</c:v>
                </c:pt>
                <c:pt idx="8">
                  <c:v>1</c:v>
                </c:pt>
                <c:pt idx="9">
                  <c:v>3</c:v>
                </c:pt>
                <c:pt idx="10">
                  <c:v>3</c:v>
                </c:pt>
                <c:pt idx="11">
                  <c:v>3</c:v>
                </c:pt>
                <c:pt idx="12">
                  <c:v>3</c:v>
                </c:pt>
                <c:pt idx="13">
                  <c:v>2</c:v>
                </c:pt>
                <c:pt idx="14">
                  <c:v>1</c:v>
                </c:pt>
                <c:pt idx="15">
                  <c:v>3</c:v>
                </c:pt>
                <c:pt idx="16">
                  <c:v>1</c:v>
                </c:pt>
                <c:pt idx="17">
                  <c:v>1</c:v>
                </c:pt>
                <c:pt idx="18">
                  <c:v>2</c:v>
                </c:pt>
                <c:pt idx="19">
                  <c:v>2</c:v>
                </c:pt>
                <c:pt idx="20">
                  <c:v>1</c:v>
                </c:pt>
                <c:pt idx="21">
                  <c:v>2</c:v>
                </c:pt>
                <c:pt idx="22">
                  <c:v>1</c:v>
                </c:pt>
                <c:pt idx="23">
                  <c:v>4</c:v>
                </c:pt>
                <c:pt idx="24">
                  <c:v>1</c:v>
                </c:pt>
                <c:pt idx="25">
                  <c:v>2</c:v>
                </c:pt>
                <c:pt idx="26">
                  <c:v>2</c:v>
                </c:pt>
                <c:pt idx="27">
                  <c:v>2</c:v>
                </c:pt>
                <c:pt idx="28">
                  <c:v>1</c:v>
                </c:pt>
                <c:pt idx="29">
                  <c:v>1</c:v>
                </c:pt>
                <c:pt idx="30">
                  <c:v>1</c:v>
                </c:pt>
                <c:pt idx="31">
                  <c:v>1</c:v>
                </c:pt>
                <c:pt idx="32">
                  <c:v>2</c:v>
                </c:pt>
                <c:pt idx="33">
                  <c:v>1</c:v>
                </c:pt>
                <c:pt idx="34">
                  <c:v>1</c:v>
                </c:pt>
                <c:pt idx="35">
                  <c:v>3</c:v>
                </c:pt>
                <c:pt idx="36">
                  <c:v>2</c:v>
                </c:pt>
                <c:pt idx="37">
                  <c:v>1</c:v>
                </c:pt>
                <c:pt idx="38">
                  <c:v>2</c:v>
                </c:pt>
                <c:pt idx="39">
                  <c:v>2</c:v>
                </c:pt>
                <c:pt idx="40">
                  <c:v>3</c:v>
                </c:pt>
                <c:pt idx="41">
                  <c:v>3</c:v>
                </c:pt>
              </c:numCache>
            </c:numRef>
          </c:val>
          <c:smooth val="0"/>
          <c:extLst>
            <c:ext xmlns:c16="http://schemas.microsoft.com/office/drawing/2014/chart" uri="{C3380CC4-5D6E-409C-BE32-E72D297353CC}">
              <c16:uniqueId val="{00000000-7689-4B2C-943D-D312E41723AA}"/>
            </c:ext>
          </c:extLst>
        </c:ser>
        <c:dLbls>
          <c:showLegendKey val="0"/>
          <c:showVal val="0"/>
          <c:showCatName val="0"/>
          <c:showSerName val="0"/>
          <c:showPercent val="0"/>
          <c:showBubbleSize val="0"/>
        </c:dLbls>
        <c:marker val="1"/>
        <c:smooth val="0"/>
        <c:axId val="572848512"/>
        <c:axId val="572849472"/>
      </c:lineChart>
      <c:catAx>
        <c:axId val="5728485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849472"/>
        <c:crosses val="autoZero"/>
        <c:auto val="1"/>
        <c:lblAlgn val="ctr"/>
        <c:lblOffset val="100"/>
        <c:noMultiLvlLbl val="0"/>
      </c:catAx>
      <c:valAx>
        <c:axId val="5728494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84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[sample.xlsx]CUST-TABLE!PivotTable9</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'CUST-TABLE'!$R$21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61-4272-8C24-4D6A35EE44F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61-4272-8C24-4D6A35EE44F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F61-4272-8C24-4D6A35EE44F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F61-4272-8C24-4D6A35EE44F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F61-4272-8C24-4D6A35EE44F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F61-4272-8C24-4D6A35EE44F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F61-4272-8C24-4D6A35EE44F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F61-4272-8C24-4D6A35EE44F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F61-4272-8C24-4D6A35EE44F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F61-4272-8C24-4D6A35EE44F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F61-4272-8C24-4D6A35EE44F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F61-4272-8C24-4D6A35EE44F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F61-4272-8C24-4D6A35EE44F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F61-4272-8C24-4D6A35EE44F7}"/>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F61-4272-8C24-4D6A35EE44F7}"/>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F61-4272-8C24-4D6A35EE44F7}"/>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F61-4272-8C24-4D6A35EE44F7}"/>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F61-4272-8C24-4D6A35EE44F7}"/>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F61-4272-8C24-4D6A35EE44F7}"/>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7F61-4272-8C24-4D6A35EE44F7}"/>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7F61-4272-8C24-4D6A35EE44F7}"/>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7F61-4272-8C24-4D6A35EE44F7}"/>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7F61-4272-8C24-4D6A35EE44F7}"/>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7F61-4272-8C24-4D6A35EE44F7}"/>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7F61-4272-8C24-4D6A35EE44F7}"/>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7F61-4272-8C24-4D6A35EE44F7}"/>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7F61-4272-8C24-4D6A35EE44F7}"/>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7F61-4272-8C24-4D6A35EE44F7}"/>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7F61-4272-8C24-4D6A35EE44F7}"/>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7F61-4272-8C24-4D6A35EE44F7}"/>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7F61-4272-8C24-4D6A35EE44F7}"/>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7F61-4272-8C24-4D6A35EE44F7}"/>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7F61-4272-8C24-4D6A35EE44F7}"/>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7F61-4272-8C24-4D6A35EE44F7}"/>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7F61-4272-8C24-4D6A35EE44F7}"/>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7F61-4272-8C24-4D6A35EE44F7}"/>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7F61-4272-8C24-4D6A35EE44F7}"/>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7F61-4272-8C24-4D6A35EE44F7}"/>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7F61-4272-8C24-4D6A35EE44F7}"/>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7F61-4272-8C24-4D6A35EE44F7}"/>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7F61-4272-8C24-4D6A35EE44F7}"/>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7F61-4272-8C24-4D6A35EE44F7}"/>
              </c:ext>
            </c:extLst>
          </c:dPt>
          <c:cat>
            <c:strRef>
              <c:f>'CUST-TABLE'!$Q$22:$Q$64</c:f>
              <c:strCache>
                <c:ptCount val="42"/>
                <c:pt idx="0">
                  <c:v>AG-10675</c:v>
                </c:pt>
                <c:pt idx="1">
                  <c:v>AJ-10795</c:v>
                </c:pt>
                <c:pt idx="2">
                  <c:v>BE-11335</c:v>
                </c:pt>
                <c:pt idx="3">
                  <c:v>BM-11575</c:v>
                </c:pt>
                <c:pt idx="4">
                  <c:v>BO-11350</c:v>
                </c:pt>
                <c:pt idx="5">
                  <c:v>BP-11185</c:v>
                </c:pt>
                <c:pt idx="6">
                  <c:v>BT-11530</c:v>
                </c:pt>
                <c:pt idx="7">
                  <c:v>CA-12310</c:v>
                </c:pt>
                <c:pt idx="8">
                  <c:v>CB-12415</c:v>
                </c:pt>
                <c:pt idx="9">
                  <c:v>CB-12535</c:v>
                </c:pt>
                <c:pt idx="10">
                  <c:v>CC-12430</c:v>
                </c:pt>
                <c:pt idx="11">
                  <c:v>CM-11935</c:v>
                </c:pt>
                <c:pt idx="12">
                  <c:v>DE-13255</c:v>
                </c:pt>
                <c:pt idx="13">
                  <c:v>DF-13135</c:v>
                </c:pt>
                <c:pt idx="14">
                  <c:v>DL-13495</c:v>
                </c:pt>
                <c:pt idx="15">
                  <c:v>Dp-13240</c:v>
                </c:pt>
                <c:pt idx="16">
                  <c:v>DW-13480</c:v>
                </c:pt>
                <c:pt idx="17">
                  <c:v>EB-13975</c:v>
                </c:pt>
                <c:pt idx="18">
                  <c:v>EH-13945</c:v>
                </c:pt>
                <c:pt idx="19">
                  <c:v>FP-14320</c:v>
                </c:pt>
                <c:pt idx="20">
                  <c:v>HE-14800</c:v>
                </c:pt>
                <c:pt idx="21">
                  <c:v>HG-14965</c:v>
                </c:pt>
                <c:pt idx="22">
                  <c:v>JB-16000</c:v>
                </c:pt>
                <c:pt idx="23">
                  <c:v>JD-15895</c:v>
                </c:pt>
                <c:pt idx="24">
                  <c:v>JF-15490</c:v>
                </c:pt>
                <c:pt idx="25">
                  <c:v>JO-15145</c:v>
                </c:pt>
                <c:pt idx="26">
                  <c:v>KB-16585</c:v>
                </c:pt>
                <c:pt idx="27">
                  <c:v>LA-16780</c:v>
                </c:pt>
                <c:pt idx="28">
                  <c:v>LR-16915</c:v>
                </c:pt>
                <c:pt idx="29">
                  <c:v>MC-17275</c:v>
                </c:pt>
                <c:pt idx="30">
                  <c:v>MF-17665</c:v>
                </c:pt>
                <c:pt idx="31">
                  <c:v>MP-17470</c:v>
                </c:pt>
                <c:pt idx="32">
                  <c:v>NM-18520</c:v>
                </c:pt>
                <c:pt idx="33">
                  <c:v>PG-18895</c:v>
                </c:pt>
                <c:pt idx="34">
                  <c:v>RC-19825</c:v>
                </c:pt>
                <c:pt idx="35">
                  <c:v>SC-20725</c:v>
                </c:pt>
                <c:pt idx="36">
                  <c:v>TB-21250</c:v>
                </c:pt>
                <c:pt idx="37">
                  <c:v>TB-21280</c:v>
                </c:pt>
                <c:pt idx="38">
                  <c:v>TB-21355</c:v>
                </c:pt>
                <c:pt idx="39">
                  <c:v>TD-20995</c:v>
                </c:pt>
                <c:pt idx="40">
                  <c:v>VS-21820</c:v>
                </c:pt>
                <c:pt idx="41">
                  <c:v>WB-21850</c:v>
                </c:pt>
              </c:strCache>
            </c:strRef>
          </c:cat>
          <c:val>
            <c:numRef>
              <c:f>'CUST-TABLE'!$R$22:$R$64</c:f>
              <c:numCache>
                <c:formatCode>General</c:formatCode>
                <c:ptCount val="42"/>
                <c:pt idx="0">
                  <c:v>2</c:v>
                </c:pt>
                <c:pt idx="1">
                  <c:v>4</c:v>
                </c:pt>
                <c:pt idx="2">
                  <c:v>1</c:v>
                </c:pt>
                <c:pt idx="3">
                  <c:v>3</c:v>
                </c:pt>
                <c:pt idx="4">
                  <c:v>2</c:v>
                </c:pt>
                <c:pt idx="5">
                  <c:v>2</c:v>
                </c:pt>
                <c:pt idx="6">
                  <c:v>2</c:v>
                </c:pt>
                <c:pt idx="7">
                  <c:v>3</c:v>
                </c:pt>
                <c:pt idx="8">
                  <c:v>1</c:v>
                </c:pt>
                <c:pt idx="9">
                  <c:v>3</c:v>
                </c:pt>
                <c:pt idx="10">
                  <c:v>3</c:v>
                </c:pt>
                <c:pt idx="11">
                  <c:v>3</c:v>
                </c:pt>
                <c:pt idx="12">
                  <c:v>3</c:v>
                </c:pt>
                <c:pt idx="13">
                  <c:v>2</c:v>
                </c:pt>
                <c:pt idx="14">
                  <c:v>1</c:v>
                </c:pt>
                <c:pt idx="15">
                  <c:v>3</c:v>
                </c:pt>
                <c:pt idx="16">
                  <c:v>1</c:v>
                </c:pt>
                <c:pt idx="17">
                  <c:v>1</c:v>
                </c:pt>
                <c:pt idx="18">
                  <c:v>2</c:v>
                </c:pt>
                <c:pt idx="19">
                  <c:v>2</c:v>
                </c:pt>
                <c:pt idx="20">
                  <c:v>1</c:v>
                </c:pt>
                <c:pt idx="21">
                  <c:v>2</c:v>
                </c:pt>
                <c:pt idx="22">
                  <c:v>1</c:v>
                </c:pt>
                <c:pt idx="23">
                  <c:v>4</c:v>
                </c:pt>
                <c:pt idx="24">
                  <c:v>1</c:v>
                </c:pt>
                <c:pt idx="25">
                  <c:v>2</c:v>
                </c:pt>
                <c:pt idx="26">
                  <c:v>2</c:v>
                </c:pt>
                <c:pt idx="27">
                  <c:v>2</c:v>
                </c:pt>
                <c:pt idx="28">
                  <c:v>1</c:v>
                </c:pt>
                <c:pt idx="29">
                  <c:v>1</c:v>
                </c:pt>
                <c:pt idx="30">
                  <c:v>1</c:v>
                </c:pt>
                <c:pt idx="31">
                  <c:v>1</c:v>
                </c:pt>
                <c:pt idx="32">
                  <c:v>2</c:v>
                </c:pt>
                <c:pt idx="33">
                  <c:v>1</c:v>
                </c:pt>
                <c:pt idx="34">
                  <c:v>1</c:v>
                </c:pt>
                <c:pt idx="35">
                  <c:v>3</c:v>
                </c:pt>
                <c:pt idx="36">
                  <c:v>2</c:v>
                </c:pt>
                <c:pt idx="37">
                  <c:v>1</c:v>
                </c:pt>
                <c:pt idx="38">
                  <c:v>2</c:v>
                </c:pt>
                <c:pt idx="39">
                  <c:v>2</c:v>
                </c:pt>
                <c:pt idx="40">
                  <c:v>3</c:v>
                </c:pt>
                <c:pt idx="41">
                  <c:v>3</c:v>
                </c:pt>
              </c:numCache>
            </c:numRef>
          </c:val>
          <c:extLst>
            <c:ext xmlns:c16="http://schemas.microsoft.com/office/drawing/2014/chart" uri="{C3380CC4-5D6E-409C-BE32-E72D297353CC}">
              <c16:uniqueId val="{00000054-7F61-4272-8C24-4D6A35EE44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[sample.xlsx]PROD_TABLE!PivotTable10</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PROD_TABLE!$N$23:$N$24</c:f>
              <c:strCache>
                <c:ptCount val="1"/>
                <c:pt idx="0">
                  <c:v>Furniture</c:v>
                </c:pt>
              </c:strCache>
            </c:strRef>
          </c:tx>
          <c:spPr>
            <a:solidFill>
              <a:schemeClr val="accent1"/>
            </a:solidFill>
            <a:ln>
              <a:noFill/>
            </a:ln>
            <a:effectLst/>
          </c:spPr>
          <c:invertIfNegative val="0"/>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PROD_TABLE!$N$25:$N$64</c:f>
              <c:numCache>
                <c:formatCode>General</c:formatCode>
                <c:ptCount val="39"/>
                <c:pt idx="0">
                  <c:v>1</c:v>
                </c:pt>
                <c:pt idx="1">
                  <c:v>2</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701F-4188-A9DA-211E03376558}"/>
            </c:ext>
          </c:extLst>
        </c:ser>
        <c:ser>
          <c:idx val="1"/>
          <c:order val="1"/>
          <c:tx>
            <c:strRef>
              <c:f>PROD_TABLE!$O$23:$O$24</c:f>
              <c:strCache>
                <c:ptCount val="1"/>
                <c:pt idx="0">
                  <c:v>Office Supplies</c:v>
                </c:pt>
              </c:strCache>
            </c:strRef>
          </c:tx>
          <c:spPr>
            <a:solidFill>
              <a:schemeClr val="accent2"/>
            </a:solidFill>
            <a:ln>
              <a:noFill/>
            </a:ln>
            <a:effectLst/>
          </c:spPr>
          <c:invertIfNegative val="0"/>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PROD_TABLE!$O$25:$O$64</c:f>
              <c:numCache>
                <c:formatCode>General</c:formatCode>
                <c:ptCount val="39"/>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extLst>
            <c:ext xmlns:c16="http://schemas.microsoft.com/office/drawing/2014/chart" uri="{C3380CC4-5D6E-409C-BE32-E72D297353CC}">
              <c16:uniqueId val="{00000004-701F-4188-A9DA-211E03376558}"/>
            </c:ext>
          </c:extLst>
        </c:ser>
        <c:ser>
          <c:idx val="2"/>
          <c:order val="2"/>
          <c:tx>
            <c:strRef>
              <c:f>PROD_TABLE!$P$23:$P$24</c:f>
              <c:strCache>
                <c:ptCount val="1"/>
                <c:pt idx="0">
                  <c:v>Technology</c:v>
                </c:pt>
              </c:strCache>
            </c:strRef>
          </c:tx>
          <c:spPr>
            <a:solidFill>
              <a:schemeClr val="accent3"/>
            </a:solidFill>
            <a:ln>
              <a:noFill/>
            </a:ln>
            <a:effectLst/>
          </c:spPr>
          <c:invertIfNegative val="0"/>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PROD_TABLE!$P$25:$P$64</c:f>
              <c:numCache>
                <c:formatCode>General</c:formatCode>
                <c:ptCount val="39"/>
                <c:pt idx="26">
                  <c:v>1</c:v>
                </c:pt>
                <c:pt idx="27">
                  <c:v>1</c:v>
                </c:pt>
                <c:pt idx="28">
                  <c:v>1</c:v>
                </c:pt>
                <c:pt idx="29">
                  <c:v>1</c:v>
                </c:pt>
                <c:pt idx="30">
                  <c:v>1</c:v>
                </c:pt>
                <c:pt idx="31">
                  <c:v>1</c:v>
                </c:pt>
                <c:pt idx="32">
                  <c:v>1</c:v>
                </c:pt>
                <c:pt idx="33">
                  <c:v>1</c:v>
                </c:pt>
                <c:pt idx="34">
                  <c:v>1</c:v>
                </c:pt>
                <c:pt idx="35">
                  <c:v>1</c:v>
                </c:pt>
                <c:pt idx="36">
                  <c:v>1</c:v>
                </c:pt>
                <c:pt idx="37">
                  <c:v>1</c:v>
                </c:pt>
                <c:pt idx="38">
                  <c:v>1</c:v>
                </c:pt>
              </c:numCache>
            </c:numRef>
          </c:val>
          <c:extLst>
            <c:ext xmlns:c16="http://schemas.microsoft.com/office/drawing/2014/chart" uri="{C3380CC4-5D6E-409C-BE32-E72D297353CC}">
              <c16:uniqueId val="{00000005-701F-4188-A9DA-211E03376558}"/>
            </c:ext>
          </c:extLst>
        </c:ser>
        <c:dLbls>
          <c:showLegendKey val="0"/>
          <c:showVal val="0"/>
          <c:showCatName val="0"/>
          <c:showSerName val="0"/>
          <c:showPercent val="0"/>
          <c:showBubbleSize val="0"/>
        </c:dLbls>
        <c:gapWidth val="219"/>
        <c:overlap val="-27"/>
        <c:axId val="2055880592"/>
        <c:axId val="2055878192"/>
      </c:barChart>
      <c:catAx>
        <c:axId val="2055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78192"/>
        <c:crosses val="autoZero"/>
        <c:auto val="1"/>
        <c:lblAlgn val="ctr"/>
        <c:lblOffset val="100"/>
        <c:noMultiLvlLbl val="0"/>
      </c:catAx>
      <c:valAx>
        <c:axId val="205587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8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[sample.xlsx]PROD_TABLE!PivotTable10</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s>
    <c:plotArea>
      <c:layout/>
      <c:pieChart>
        <c:varyColors val="1"/>
        <c:ser>
          <c:idx val="0"/>
          <c:order val="0"/>
          <c:tx>
            <c:strRef>
              <c:f>PROD_TABLE!$N$23:$N$24</c:f>
              <c:strCache>
                <c:ptCount val="1"/>
                <c:pt idx="0">
                  <c:v>Furniture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10-4324-A1B5-81E031C845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10-4324-A1B5-81E031C845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10-4324-A1B5-81E031C845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10-4324-A1B5-81E031C8453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10-4324-A1B5-81E031C8453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110-4324-A1B5-81E031C8453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110-4324-A1B5-81E031C8453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110-4324-A1B5-81E031C8453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110-4324-A1B5-81E031C8453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110-4324-A1B5-81E031C8453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110-4324-A1B5-81E031C8453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110-4324-A1B5-81E031C8453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110-4324-A1B5-81E031C8453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110-4324-A1B5-81E031C8453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110-4324-A1B5-81E031C8453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110-4324-A1B5-81E031C8453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110-4324-A1B5-81E031C8453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110-4324-A1B5-81E031C8453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110-4324-A1B5-81E031C8453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110-4324-A1B5-81E031C8453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110-4324-A1B5-81E031C8453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110-4324-A1B5-81E031C8453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110-4324-A1B5-81E031C8453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110-4324-A1B5-81E031C8453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110-4324-A1B5-81E031C8453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110-4324-A1B5-81E031C8453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0110-4324-A1B5-81E031C8453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0110-4324-A1B5-81E031C8453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0110-4324-A1B5-81E031C8453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0110-4324-A1B5-81E031C8453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0110-4324-A1B5-81E031C8453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0110-4324-A1B5-81E031C8453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0110-4324-A1B5-81E031C8453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0110-4324-A1B5-81E031C8453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0110-4324-A1B5-81E031C8453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0110-4324-A1B5-81E031C8453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0110-4324-A1B5-81E031C8453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0110-4324-A1B5-81E031C8453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0110-4324-A1B5-81E031C84535}"/>
              </c:ext>
            </c:extLst>
          </c:dPt>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PROD_TABLE!$N$25:$N$64</c:f>
              <c:numCache>
                <c:formatCode>General</c:formatCode>
                <c:ptCount val="39"/>
                <c:pt idx="0">
                  <c:v>1</c:v>
                </c:pt>
                <c:pt idx="1">
                  <c:v>2</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4E-0110-4324-A1B5-81E031C84535}"/>
            </c:ext>
          </c:extLst>
        </c:ser>
        <c:ser>
          <c:idx val="1"/>
          <c:order val="1"/>
          <c:tx>
            <c:strRef>
              <c:f>PROD_TABLE!$O$23:$O$24</c:f>
              <c:strCache>
                <c:ptCount val="1"/>
                <c:pt idx="0">
                  <c:v>Office Supplies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PROD_TABLE!$O$25:$O$64</c:f>
              <c:numCache>
                <c:formatCode>General</c:formatCode>
                <c:ptCount val="39"/>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extLst>
            <c:ext xmlns:c16="http://schemas.microsoft.com/office/drawing/2014/chart" uri="{C3380CC4-5D6E-409C-BE32-E72D297353CC}">
              <c16:uniqueId val="{000000EE-0110-4324-A1B5-81E031C84535}"/>
            </c:ext>
          </c:extLst>
        </c:ser>
        <c:ser>
          <c:idx val="2"/>
          <c:order val="2"/>
          <c:tx>
            <c:strRef>
              <c:f>PROD_TABLE!$P$23:$P$24</c:f>
              <c:strCache>
                <c:ptCount val="1"/>
                <c:pt idx="0">
                  <c:v>Technology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PROD_TABLE!$P$25:$P$64</c:f>
              <c:numCache>
                <c:formatCode>General</c:formatCode>
                <c:ptCount val="39"/>
                <c:pt idx="26">
                  <c:v>1</c:v>
                </c:pt>
                <c:pt idx="27">
                  <c:v>1</c:v>
                </c:pt>
                <c:pt idx="28">
                  <c:v>1</c:v>
                </c:pt>
                <c:pt idx="29">
                  <c:v>1</c:v>
                </c:pt>
                <c:pt idx="30">
                  <c:v>1</c:v>
                </c:pt>
                <c:pt idx="31">
                  <c:v>1</c:v>
                </c:pt>
                <c:pt idx="32">
                  <c:v>1</c:v>
                </c:pt>
                <c:pt idx="33">
                  <c:v>1</c:v>
                </c:pt>
                <c:pt idx="34">
                  <c:v>1</c:v>
                </c:pt>
                <c:pt idx="35">
                  <c:v>1</c:v>
                </c:pt>
                <c:pt idx="36">
                  <c:v>1</c:v>
                </c:pt>
                <c:pt idx="37">
                  <c:v>1</c:v>
                </c:pt>
                <c:pt idx="38">
                  <c:v>1</c:v>
                </c:pt>
              </c:numCache>
            </c:numRef>
          </c:val>
          <c:extLst>
            <c:ext xmlns:c16="http://schemas.microsoft.com/office/drawing/2014/chart" uri="{C3380CC4-5D6E-409C-BE32-E72D297353CC}">
              <c16:uniqueId val="{000000EF-0110-4324-A1B5-81E031C845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[sample.xlsx]PROD_TABLE!PivotTable10</c:name>
    <c:fmtId val="2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PROD_TABLE!$N$23:$N$24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PROD_TABLE!$N$25:$N$64</c:f>
              <c:numCache>
                <c:formatCode>General</c:formatCode>
                <c:ptCount val="39"/>
                <c:pt idx="0">
                  <c:v>1</c:v>
                </c:pt>
                <c:pt idx="1">
                  <c:v>2</c:v>
                </c:pt>
                <c:pt idx="2">
                  <c:v>1</c:v>
                </c:pt>
                <c:pt idx="3">
                  <c:v>1</c:v>
                </c:pt>
                <c:pt idx="4">
                  <c:v>1</c:v>
                </c:pt>
                <c:pt idx="5">
                  <c:v>1</c:v>
                </c:pt>
                <c:pt idx="6">
                  <c:v>1</c:v>
                </c:pt>
                <c:pt idx="7">
                  <c:v>1</c:v>
                </c:pt>
                <c:pt idx="8">
                  <c:v>1</c:v>
                </c:pt>
                <c:pt idx="9">
                  <c:v>1</c:v>
                </c:pt>
              </c:numCache>
            </c:numRef>
          </c:val>
          <c:smooth val="0"/>
          <c:extLst>
            <c:ext xmlns:c16="http://schemas.microsoft.com/office/drawing/2014/chart" uri="{C3380CC4-5D6E-409C-BE32-E72D297353CC}">
              <c16:uniqueId val="{00000000-76FD-4F98-A8B0-C51CC8DEBB56}"/>
            </c:ext>
          </c:extLst>
        </c:ser>
        <c:ser>
          <c:idx val="1"/>
          <c:order val="1"/>
          <c:tx>
            <c:strRef>
              <c:f>PROD_TABLE!$O$23:$O$24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PROD_TABLE!$O$25:$O$64</c:f>
              <c:numCache>
                <c:formatCode>General</c:formatCode>
                <c:ptCount val="39"/>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smooth val="0"/>
          <c:extLst>
            <c:ext xmlns:c16="http://schemas.microsoft.com/office/drawing/2014/chart" uri="{C3380CC4-5D6E-409C-BE32-E72D297353CC}">
              <c16:uniqueId val="{00000004-76FD-4F98-A8B0-C51CC8DEBB56}"/>
            </c:ext>
          </c:extLst>
        </c:ser>
        <c:ser>
          <c:idx val="2"/>
          <c:order val="2"/>
          <c:tx>
            <c:strRef>
              <c:f>PROD_TABLE!$P$23:$P$24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PROD_TABLE!$P$25:$P$64</c:f>
              <c:numCache>
                <c:formatCode>General</c:formatCode>
                <c:ptCount val="39"/>
                <c:pt idx="26">
                  <c:v>1</c:v>
                </c:pt>
                <c:pt idx="27">
                  <c:v>1</c:v>
                </c:pt>
                <c:pt idx="28">
                  <c:v>1</c:v>
                </c:pt>
                <c:pt idx="29">
                  <c:v>1</c:v>
                </c:pt>
                <c:pt idx="30">
                  <c:v>1</c:v>
                </c:pt>
                <c:pt idx="31">
                  <c:v>1</c:v>
                </c:pt>
                <c:pt idx="32">
                  <c:v>1</c:v>
                </c:pt>
                <c:pt idx="33">
                  <c:v>1</c:v>
                </c:pt>
                <c:pt idx="34">
                  <c:v>1</c:v>
                </c:pt>
                <c:pt idx="35">
                  <c:v>1</c:v>
                </c:pt>
                <c:pt idx="36">
                  <c:v>1</c:v>
                </c:pt>
                <c:pt idx="37">
                  <c:v>1</c:v>
                </c:pt>
                <c:pt idx="38">
                  <c:v>1</c:v>
                </c:pt>
              </c:numCache>
            </c:numRef>
          </c:val>
          <c:smooth val="0"/>
          <c:extLst>
            <c:ext xmlns:c16="http://schemas.microsoft.com/office/drawing/2014/chart" uri="{C3380CC4-5D6E-409C-BE32-E72D297353CC}">
              <c16:uniqueId val="{00000005-76FD-4F98-A8B0-C51CC8DEBB56}"/>
            </c:ext>
          </c:extLst>
        </c:ser>
        <c:dLbls>
          <c:showLegendKey val="0"/>
          <c:showVal val="0"/>
          <c:showCatName val="0"/>
          <c:showSerName val="0"/>
          <c:showPercent val="0"/>
          <c:showBubbleSize val="0"/>
        </c:dLbls>
        <c:marker val="1"/>
        <c:smooth val="0"/>
        <c:axId val="523906992"/>
        <c:axId val="523918032"/>
      </c:lineChart>
      <c:catAx>
        <c:axId val="5239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18032"/>
        <c:crosses val="autoZero"/>
        <c:auto val="1"/>
        <c:lblAlgn val="ctr"/>
        <c:lblOffset val="100"/>
        <c:noMultiLvlLbl val="0"/>
      </c:catAx>
      <c:valAx>
        <c:axId val="52391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0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[sample.xlsx]ORDER_TABLE!PivotTable12</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ORDER_TABLE!$AF$5</c:f>
              <c:strCache>
                <c:ptCount val="1"/>
                <c:pt idx="0">
                  <c:v>Sum of Sales</c:v>
                </c:pt>
              </c:strCache>
            </c:strRef>
          </c:tx>
          <c:spPr>
            <a:solidFill>
              <a:schemeClr val="accent1"/>
            </a:solidFill>
            <a:ln>
              <a:noFill/>
            </a:ln>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ORDER_TABLE!$AF$6:$AF$18</c:f>
              <c:numCache>
                <c:formatCode>General</c:formatCode>
                <c:ptCount val="12"/>
                <c:pt idx="0">
                  <c:v>405.34399999999999</c:v>
                </c:pt>
                <c:pt idx="1">
                  <c:v>510.28700000000003</c:v>
                </c:pt>
                <c:pt idx="2">
                  <c:v>73.94</c:v>
                </c:pt>
                <c:pt idx="3">
                  <c:v>405.91999999999996</c:v>
                </c:pt>
                <c:pt idx="4">
                  <c:v>2095.83</c:v>
                </c:pt>
                <c:pt idx="5">
                  <c:v>1069.22</c:v>
                </c:pt>
                <c:pt idx="6">
                  <c:v>255.904</c:v>
                </c:pt>
                <c:pt idx="7">
                  <c:v>83.575999999999993</c:v>
                </c:pt>
                <c:pt idx="8">
                  <c:v>1859.1580000000001</c:v>
                </c:pt>
                <c:pt idx="9">
                  <c:v>743.04599999999994</c:v>
                </c:pt>
                <c:pt idx="10">
                  <c:v>174.75</c:v>
                </c:pt>
                <c:pt idx="11">
                  <c:v>149.44399999999999</c:v>
                </c:pt>
              </c:numCache>
            </c:numRef>
          </c:val>
          <c:extLst>
            <c:ext xmlns:c16="http://schemas.microsoft.com/office/drawing/2014/chart" uri="{C3380CC4-5D6E-409C-BE32-E72D297353CC}">
              <c16:uniqueId val="{00000000-5F94-4C4E-90B5-AA0FC1828365}"/>
            </c:ext>
          </c:extLst>
        </c:ser>
        <c:ser>
          <c:idx val="1"/>
          <c:order val="1"/>
          <c:tx>
            <c:strRef>
              <c:f>ORDER_TABLE!$AG$5</c:f>
              <c:strCache>
                <c:ptCount val="1"/>
                <c:pt idx="0">
                  <c:v>Sum of Quantity</c:v>
                </c:pt>
              </c:strCache>
            </c:strRef>
          </c:tx>
          <c:spPr>
            <a:solidFill>
              <a:schemeClr val="accent2"/>
            </a:solidFill>
            <a:ln>
              <a:noFill/>
            </a:ln>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ORDER_TABLE!$AG$6:$AG$18</c:f>
              <c:numCache>
                <c:formatCode>General</c:formatCode>
                <c:ptCount val="12"/>
                <c:pt idx="0">
                  <c:v>10</c:v>
                </c:pt>
                <c:pt idx="1">
                  <c:v>12</c:v>
                </c:pt>
                <c:pt idx="2">
                  <c:v>1</c:v>
                </c:pt>
                <c:pt idx="3">
                  <c:v>5</c:v>
                </c:pt>
                <c:pt idx="4">
                  <c:v>21</c:v>
                </c:pt>
                <c:pt idx="5">
                  <c:v>11</c:v>
                </c:pt>
                <c:pt idx="6">
                  <c:v>10</c:v>
                </c:pt>
                <c:pt idx="7">
                  <c:v>9</c:v>
                </c:pt>
                <c:pt idx="8">
                  <c:v>25</c:v>
                </c:pt>
                <c:pt idx="9">
                  <c:v>16</c:v>
                </c:pt>
                <c:pt idx="10">
                  <c:v>11</c:v>
                </c:pt>
                <c:pt idx="11">
                  <c:v>22</c:v>
                </c:pt>
              </c:numCache>
            </c:numRef>
          </c:val>
          <c:extLst>
            <c:ext xmlns:c16="http://schemas.microsoft.com/office/drawing/2014/chart" uri="{C3380CC4-5D6E-409C-BE32-E72D297353CC}">
              <c16:uniqueId val="{00000001-5F94-4C4E-90B5-AA0FC1828365}"/>
            </c:ext>
          </c:extLst>
        </c:ser>
        <c:ser>
          <c:idx val="2"/>
          <c:order val="2"/>
          <c:tx>
            <c:strRef>
              <c:f>ORDER_TABLE!$AH$5</c:f>
              <c:strCache>
                <c:ptCount val="1"/>
                <c:pt idx="0">
                  <c:v>Sum of Profit</c:v>
                </c:pt>
              </c:strCache>
            </c:strRef>
          </c:tx>
          <c:spPr>
            <a:solidFill>
              <a:schemeClr val="accent3"/>
            </a:solidFill>
            <a:ln>
              <a:noFill/>
            </a:ln>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ORDER_TABLE!$AH$6:$AH$18</c:f>
              <c:numCache>
                <c:formatCode>General</c:formatCode>
                <c:ptCount val="12"/>
                <c:pt idx="0">
                  <c:v>64.046000000000006</c:v>
                </c:pt>
                <c:pt idx="1">
                  <c:v>109.75699999999999</c:v>
                </c:pt>
                <c:pt idx="2">
                  <c:v>28.2668</c:v>
                </c:pt>
                <c:pt idx="3">
                  <c:v>105.541</c:v>
                </c:pt>
                <c:pt idx="4">
                  <c:v>386.48600000000005</c:v>
                </c:pt>
                <c:pt idx="5">
                  <c:v>40.402000000000001</c:v>
                </c:pt>
                <c:pt idx="6">
                  <c:v>46.456800000000008</c:v>
                </c:pt>
                <c:pt idx="7">
                  <c:v>8.1390999999999991</c:v>
                </c:pt>
                <c:pt idx="8">
                  <c:v>449.14030000000002</c:v>
                </c:pt>
                <c:pt idx="9">
                  <c:v>264.49799999999999</c:v>
                </c:pt>
                <c:pt idx="10">
                  <c:v>55.365299999999998</c:v>
                </c:pt>
                <c:pt idx="11">
                  <c:v>25.083399999999997</c:v>
                </c:pt>
              </c:numCache>
            </c:numRef>
          </c:val>
          <c:extLst>
            <c:ext xmlns:c16="http://schemas.microsoft.com/office/drawing/2014/chart" uri="{C3380CC4-5D6E-409C-BE32-E72D297353CC}">
              <c16:uniqueId val="{00000002-5F94-4C4E-90B5-AA0FC1828365}"/>
            </c:ext>
          </c:extLst>
        </c:ser>
        <c:dLbls>
          <c:showLegendKey val="0"/>
          <c:showVal val="0"/>
          <c:showCatName val="0"/>
          <c:showSerName val="0"/>
          <c:showPercent val="0"/>
          <c:showBubbleSize val="0"/>
        </c:dLbls>
        <c:gapWidth val="219"/>
        <c:overlap val="-27"/>
        <c:axId val="92502159"/>
        <c:axId val="92500719"/>
      </c:barChart>
      <c:catAx>
        <c:axId val="9250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0719"/>
        <c:crosses val="autoZero"/>
        <c:auto val="1"/>
        <c:lblAlgn val="ctr"/>
        <c:lblOffset val="100"/>
        <c:noMultiLvlLbl val="0"/>
      </c:catAx>
      <c:valAx>
        <c:axId val="9250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[sample.xlsx]ORDER_TABLE!PivotTable12</c:name>
    <c:fmtId val="3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ORDER_TABLE!$AF$5</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ORDER_TABLE!$AF$6:$AF$18</c:f>
              <c:numCache>
                <c:formatCode>General</c:formatCode>
                <c:ptCount val="12"/>
                <c:pt idx="0">
                  <c:v>405.34399999999999</c:v>
                </c:pt>
                <c:pt idx="1">
                  <c:v>510.28700000000003</c:v>
                </c:pt>
                <c:pt idx="2">
                  <c:v>73.94</c:v>
                </c:pt>
                <c:pt idx="3">
                  <c:v>405.91999999999996</c:v>
                </c:pt>
                <c:pt idx="4">
                  <c:v>2095.83</c:v>
                </c:pt>
                <c:pt idx="5">
                  <c:v>1069.22</c:v>
                </c:pt>
                <c:pt idx="6">
                  <c:v>255.904</c:v>
                </c:pt>
                <c:pt idx="7">
                  <c:v>83.575999999999993</c:v>
                </c:pt>
                <c:pt idx="8">
                  <c:v>1859.1580000000001</c:v>
                </c:pt>
                <c:pt idx="9">
                  <c:v>743.04599999999994</c:v>
                </c:pt>
                <c:pt idx="10">
                  <c:v>174.75</c:v>
                </c:pt>
                <c:pt idx="11">
                  <c:v>149.44399999999999</c:v>
                </c:pt>
              </c:numCache>
            </c:numRef>
          </c:val>
          <c:extLst>
            <c:ext xmlns:c16="http://schemas.microsoft.com/office/drawing/2014/chart" uri="{C3380CC4-5D6E-409C-BE32-E72D297353CC}">
              <c16:uniqueId val="{00000000-AB7C-45E9-BF1B-0F6198B8042E}"/>
            </c:ext>
          </c:extLst>
        </c:ser>
        <c:ser>
          <c:idx val="1"/>
          <c:order val="1"/>
          <c:tx>
            <c:strRef>
              <c:f>ORDER_TABLE!$AG$5</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ORDER_TABLE!$AG$6:$AG$18</c:f>
              <c:numCache>
                <c:formatCode>General</c:formatCode>
                <c:ptCount val="12"/>
                <c:pt idx="0">
                  <c:v>10</c:v>
                </c:pt>
                <c:pt idx="1">
                  <c:v>12</c:v>
                </c:pt>
                <c:pt idx="2">
                  <c:v>1</c:v>
                </c:pt>
                <c:pt idx="3">
                  <c:v>5</c:v>
                </c:pt>
                <c:pt idx="4">
                  <c:v>21</c:v>
                </c:pt>
                <c:pt idx="5">
                  <c:v>11</c:v>
                </c:pt>
                <c:pt idx="6">
                  <c:v>10</c:v>
                </c:pt>
                <c:pt idx="7">
                  <c:v>9</c:v>
                </c:pt>
                <c:pt idx="8">
                  <c:v>25</c:v>
                </c:pt>
                <c:pt idx="9">
                  <c:v>16</c:v>
                </c:pt>
                <c:pt idx="10">
                  <c:v>11</c:v>
                </c:pt>
                <c:pt idx="11">
                  <c:v>22</c:v>
                </c:pt>
              </c:numCache>
            </c:numRef>
          </c:val>
          <c:extLst>
            <c:ext xmlns:c16="http://schemas.microsoft.com/office/drawing/2014/chart" uri="{C3380CC4-5D6E-409C-BE32-E72D297353CC}">
              <c16:uniqueId val="{00000001-AB7C-45E9-BF1B-0F6198B8042E}"/>
            </c:ext>
          </c:extLst>
        </c:ser>
        <c:ser>
          <c:idx val="2"/>
          <c:order val="2"/>
          <c:tx>
            <c:strRef>
              <c:f>ORDER_TABLE!$AH$5</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ORDER_TABLE!$AH$6:$AH$18</c:f>
              <c:numCache>
                <c:formatCode>General</c:formatCode>
                <c:ptCount val="12"/>
                <c:pt idx="0">
                  <c:v>64.046000000000006</c:v>
                </c:pt>
                <c:pt idx="1">
                  <c:v>109.75699999999999</c:v>
                </c:pt>
                <c:pt idx="2">
                  <c:v>28.2668</c:v>
                </c:pt>
                <c:pt idx="3">
                  <c:v>105.541</c:v>
                </c:pt>
                <c:pt idx="4">
                  <c:v>386.48600000000005</c:v>
                </c:pt>
                <c:pt idx="5">
                  <c:v>40.402000000000001</c:v>
                </c:pt>
                <c:pt idx="6">
                  <c:v>46.456800000000008</c:v>
                </c:pt>
                <c:pt idx="7">
                  <c:v>8.1390999999999991</c:v>
                </c:pt>
                <c:pt idx="8">
                  <c:v>449.14030000000002</c:v>
                </c:pt>
                <c:pt idx="9">
                  <c:v>264.49799999999999</c:v>
                </c:pt>
                <c:pt idx="10">
                  <c:v>55.365299999999998</c:v>
                </c:pt>
                <c:pt idx="11">
                  <c:v>25.083399999999997</c:v>
                </c:pt>
              </c:numCache>
            </c:numRef>
          </c:val>
          <c:extLst>
            <c:ext xmlns:c16="http://schemas.microsoft.com/office/drawing/2014/chart" uri="{C3380CC4-5D6E-409C-BE32-E72D297353CC}">
              <c16:uniqueId val="{00000002-AB7C-45E9-BF1B-0F6198B8042E}"/>
            </c:ext>
          </c:extLst>
        </c:ser>
        <c:dLbls>
          <c:showLegendKey val="0"/>
          <c:showVal val="0"/>
          <c:showCatName val="0"/>
          <c:showSerName val="0"/>
          <c:showPercent val="0"/>
          <c:showBubbleSize val="0"/>
        </c:dLbls>
        <c:gapWidth val="115"/>
        <c:overlap val="-20"/>
        <c:axId val="161085359"/>
        <c:axId val="161069039"/>
      </c:barChart>
      <c:catAx>
        <c:axId val="1610853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9039"/>
        <c:crosses val="autoZero"/>
        <c:auto val="1"/>
        <c:lblAlgn val="ctr"/>
        <c:lblOffset val="100"/>
        <c:noMultiLvlLbl val="0"/>
      </c:catAx>
      <c:valAx>
        <c:axId val="161069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[sample.xlsx]ORDER_TABLE!PivotTable12</c:name>
    <c:fmtId val="4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ORDER_TABLE!$AF$5</c:f>
              <c:strCache>
                <c:ptCount val="1"/>
                <c:pt idx="0">
                  <c:v>Sum of Sales</c:v>
                </c:pt>
              </c:strCache>
            </c:strRef>
          </c:tx>
          <c:spPr>
            <a:ln w="28575" cap="rnd">
              <a:solidFill>
                <a:schemeClr val="accent1"/>
              </a:solidFill>
              <a:round/>
            </a:ln>
            <a:effectLst/>
          </c:spPr>
          <c:marker>
            <c:symbol val="none"/>
          </c:marker>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ORDER_TABLE!$AF$6:$AF$18</c:f>
              <c:numCache>
                <c:formatCode>General</c:formatCode>
                <c:ptCount val="12"/>
                <c:pt idx="0">
                  <c:v>405.34399999999999</c:v>
                </c:pt>
                <c:pt idx="1">
                  <c:v>510.28700000000003</c:v>
                </c:pt>
                <c:pt idx="2">
                  <c:v>73.94</c:v>
                </c:pt>
                <c:pt idx="3">
                  <c:v>405.91999999999996</c:v>
                </c:pt>
                <c:pt idx="4">
                  <c:v>2095.83</c:v>
                </c:pt>
                <c:pt idx="5">
                  <c:v>1069.22</c:v>
                </c:pt>
                <c:pt idx="6">
                  <c:v>255.904</c:v>
                </c:pt>
                <c:pt idx="7">
                  <c:v>83.575999999999993</c:v>
                </c:pt>
                <c:pt idx="8">
                  <c:v>1859.1580000000001</c:v>
                </c:pt>
                <c:pt idx="9">
                  <c:v>743.04599999999994</c:v>
                </c:pt>
                <c:pt idx="10">
                  <c:v>174.75</c:v>
                </c:pt>
                <c:pt idx="11">
                  <c:v>149.44399999999999</c:v>
                </c:pt>
              </c:numCache>
            </c:numRef>
          </c:val>
          <c:smooth val="0"/>
          <c:extLst>
            <c:ext xmlns:c16="http://schemas.microsoft.com/office/drawing/2014/chart" uri="{C3380CC4-5D6E-409C-BE32-E72D297353CC}">
              <c16:uniqueId val="{00000000-6598-4F55-88CC-8C2CE424316E}"/>
            </c:ext>
          </c:extLst>
        </c:ser>
        <c:ser>
          <c:idx val="1"/>
          <c:order val="1"/>
          <c:tx>
            <c:strRef>
              <c:f>ORDER_TABLE!$AG$5</c:f>
              <c:strCache>
                <c:ptCount val="1"/>
                <c:pt idx="0">
                  <c:v>Sum of Quantity</c:v>
                </c:pt>
              </c:strCache>
            </c:strRef>
          </c:tx>
          <c:spPr>
            <a:ln w="28575" cap="rnd">
              <a:solidFill>
                <a:schemeClr val="accent2"/>
              </a:solidFill>
              <a:round/>
            </a:ln>
            <a:effectLst/>
          </c:spPr>
          <c:marker>
            <c:symbol val="none"/>
          </c:marker>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ORDER_TABLE!$AG$6:$AG$18</c:f>
              <c:numCache>
                <c:formatCode>General</c:formatCode>
                <c:ptCount val="12"/>
                <c:pt idx="0">
                  <c:v>10</c:v>
                </c:pt>
                <c:pt idx="1">
                  <c:v>12</c:v>
                </c:pt>
                <c:pt idx="2">
                  <c:v>1</c:v>
                </c:pt>
                <c:pt idx="3">
                  <c:v>5</c:v>
                </c:pt>
                <c:pt idx="4">
                  <c:v>21</c:v>
                </c:pt>
                <c:pt idx="5">
                  <c:v>11</c:v>
                </c:pt>
                <c:pt idx="6">
                  <c:v>10</c:v>
                </c:pt>
                <c:pt idx="7">
                  <c:v>9</c:v>
                </c:pt>
                <c:pt idx="8">
                  <c:v>25</c:v>
                </c:pt>
                <c:pt idx="9">
                  <c:v>16</c:v>
                </c:pt>
                <c:pt idx="10">
                  <c:v>11</c:v>
                </c:pt>
                <c:pt idx="11">
                  <c:v>22</c:v>
                </c:pt>
              </c:numCache>
            </c:numRef>
          </c:val>
          <c:smooth val="0"/>
          <c:extLst>
            <c:ext xmlns:c16="http://schemas.microsoft.com/office/drawing/2014/chart" uri="{C3380CC4-5D6E-409C-BE32-E72D297353CC}">
              <c16:uniqueId val="{00000001-6598-4F55-88CC-8C2CE424316E}"/>
            </c:ext>
          </c:extLst>
        </c:ser>
        <c:ser>
          <c:idx val="2"/>
          <c:order val="2"/>
          <c:tx>
            <c:strRef>
              <c:f>ORDER_TABLE!$AH$5</c:f>
              <c:strCache>
                <c:ptCount val="1"/>
                <c:pt idx="0">
                  <c:v>Sum of Profit</c:v>
                </c:pt>
              </c:strCache>
            </c:strRef>
          </c:tx>
          <c:spPr>
            <a:ln w="28575" cap="rnd">
              <a:solidFill>
                <a:schemeClr val="accent3"/>
              </a:solidFill>
              <a:round/>
            </a:ln>
            <a:effectLst/>
          </c:spPr>
          <c:marker>
            <c:symbol val="none"/>
          </c:marker>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ORDER_TABLE!$AH$6:$AH$18</c:f>
              <c:numCache>
                <c:formatCode>General</c:formatCode>
                <c:ptCount val="12"/>
                <c:pt idx="0">
                  <c:v>64.046000000000006</c:v>
                </c:pt>
                <c:pt idx="1">
                  <c:v>109.75699999999999</c:v>
                </c:pt>
                <c:pt idx="2">
                  <c:v>28.2668</c:v>
                </c:pt>
                <c:pt idx="3">
                  <c:v>105.541</c:v>
                </c:pt>
                <c:pt idx="4">
                  <c:v>386.48600000000005</c:v>
                </c:pt>
                <c:pt idx="5">
                  <c:v>40.402000000000001</c:v>
                </c:pt>
                <c:pt idx="6">
                  <c:v>46.456800000000008</c:v>
                </c:pt>
                <c:pt idx="7">
                  <c:v>8.1390999999999991</c:v>
                </c:pt>
                <c:pt idx="8">
                  <c:v>449.14030000000002</c:v>
                </c:pt>
                <c:pt idx="9">
                  <c:v>264.49799999999999</c:v>
                </c:pt>
                <c:pt idx="10">
                  <c:v>55.365299999999998</c:v>
                </c:pt>
                <c:pt idx="11">
                  <c:v>25.083399999999997</c:v>
                </c:pt>
              </c:numCache>
            </c:numRef>
          </c:val>
          <c:smooth val="0"/>
          <c:extLst>
            <c:ext xmlns:c16="http://schemas.microsoft.com/office/drawing/2014/chart" uri="{C3380CC4-5D6E-409C-BE32-E72D297353CC}">
              <c16:uniqueId val="{00000002-6598-4F55-88CC-8C2CE424316E}"/>
            </c:ext>
          </c:extLst>
        </c:ser>
        <c:dLbls>
          <c:showLegendKey val="0"/>
          <c:showVal val="0"/>
          <c:showCatName val="0"/>
          <c:showSerName val="0"/>
          <c:showPercent val="0"/>
          <c:showBubbleSize val="0"/>
        </c:dLbls>
        <c:smooth val="0"/>
        <c:axId val="209354207"/>
        <c:axId val="209366207"/>
      </c:lineChart>
      <c:catAx>
        <c:axId val="2093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66207"/>
        <c:crosses val="autoZero"/>
        <c:auto val="1"/>
        <c:lblAlgn val="ctr"/>
        <c:lblOffset val="100"/>
        <c:noMultiLvlLbl val="0"/>
      </c:catAx>
      <c:valAx>
        <c:axId val="20936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[sample.xlsx]INVENTORY_TABLE!PivotTable11</c:name>
    <c:fmtId val="4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INVENTORY_TABLE!$AA$3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INVENTORY_TABLE!$Z$4:$Z$34</c:f>
              <c:strCache>
                <c:ptCount val="30"/>
                <c:pt idx="0">
                  <c:v>FUR-BO-10002545</c:v>
                </c:pt>
                <c:pt idx="1">
                  <c:v>FUR-BO-10004709</c:v>
                </c:pt>
                <c:pt idx="2">
                  <c:v>FUR-FU-10000010</c:v>
                </c:pt>
                <c:pt idx="3">
                  <c:v>FUR-FU-10000076</c:v>
                </c:pt>
                <c:pt idx="4">
                  <c:v>FUR-FU-10002445</c:v>
                </c:pt>
                <c:pt idx="5">
                  <c:v>FUR-FU-10004270</c:v>
                </c:pt>
                <c:pt idx="6">
                  <c:v>FUR-TA-10000617</c:v>
                </c:pt>
                <c:pt idx="7">
                  <c:v>OFF-AR-10001955</c:v>
                </c:pt>
                <c:pt idx="8">
                  <c:v>OFF-AR-10003696</c:v>
                </c:pt>
                <c:pt idx="9">
                  <c:v>OFF-AR-10003958</c:v>
                </c:pt>
                <c:pt idx="10">
                  <c:v>OFF-AR-10004078</c:v>
                </c:pt>
                <c:pt idx="11">
                  <c:v>OFF-BI-10001460</c:v>
                </c:pt>
                <c:pt idx="12">
                  <c:v>OFF-BI-10002026</c:v>
                </c:pt>
                <c:pt idx="13">
                  <c:v>OFF-BI-10004236</c:v>
                </c:pt>
                <c:pt idx="14">
                  <c:v>OFF-BI-10004364</c:v>
                </c:pt>
                <c:pt idx="15">
                  <c:v>OFF-PA-10001166</c:v>
                </c:pt>
                <c:pt idx="16">
                  <c:v>OFF-PA-10003656</c:v>
                </c:pt>
                <c:pt idx="17">
                  <c:v>OFF-PA-10004621</c:v>
                </c:pt>
                <c:pt idx="18">
                  <c:v>OFF-ST-10003692</c:v>
                </c:pt>
                <c:pt idx="19">
                  <c:v>TEC-AC-10000420</c:v>
                </c:pt>
                <c:pt idx="20">
                  <c:v>TEC-AC-10001714</c:v>
                </c:pt>
                <c:pt idx="21">
                  <c:v>TEC-AC-10002217</c:v>
                </c:pt>
                <c:pt idx="22">
                  <c:v>TEC-AC-10002335</c:v>
                </c:pt>
                <c:pt idx="23">
                  <c:v>TEC-AC-10002942</c:v>
                </c:pt>
                <c:pt idx="24">
                  <c:v>TEC-CO-10000971</c:v>
                </c:pt>
                <c:pt idx="25">
                  <c:v>TEC-PH-10000455</c:v>
                </c:pt>
                <c:pt idx="26">
                  <c:v>TEC-PH-10002726</c:v>
                </c:pt>
                <c:pt idx="27">
                  <c:v>TEC-PH-10002890</c:v>
                </c:pt>
                <c:pt idx="28">
                  <c:v>TEC-PH-10002923</c:v>
                </c:pt>
                <c:pt idx="29">
                  <c:v>TEC-PH-10004080</c:v>
                </c:pt>
              </c:strCache>
            </c:strRef>
          </c:cat>
          <c:val>
            <c:numRef>
              <c:f>INVENTORY_TABLE!$AA$4:$AA$34</c:f>
              <c:numCache>
                <c:formatCode>General</c:formatCode>
                <c:ptCount val="30"/>
                <c:pt idx="0">
                  <c:v>93</c:v>
                </c:pt>
                <c:pt idx="1">
                  <c:v>149</c:v>
                </c:pt>
                <c:pt idx="2">
                  <c:v>9</c:v>
                </c:pt>
                <c:pt idx="3">
                  <c:v>88</c:v>
                </c:pt>
                <c:pt idx="4">
                  <c:v>43</c:v>
                </c:pt>
                <c:pt idx="5">
                  <c:v>93</c:v>
                </c:pt>
                <c:pt idx="6">
                  <c:v>90</c:v>
                </c:pt>
                <c:pt idx="7">
                  <c:v>73</c:v>
                </c:pt>
                <c:pt idx="8">
                  <c:v>13</c:v>
                </c:pt>
                <c:pt idx="9">
                  <c:v>50</c:v>
                </c:pt>
                <c:pt idx="10">
                  <c:v>81</c:v>
                </c:pt>
                <c:pt idx="11">
                  <c:v>61</c:v>
                </c:pt>
                <c:pt idx="12">
                  <c:v>98</c:v>
                </c:pt>
                <c:pt idx="13">
                  <c:v>70</c:v>
                </c:pt>
                <c:pt idx="14">
                  <c:v>84</c:v>
                </c:pt>
                <c:pt idx="15">
                  <c:v>20</c:v>
                </c:pt>
                <c:pt idx="16">
                  <c:v>36</c:v>
                </c:pt>
                <c:pt idx="17">
                  <c:v>49</c:v>
                </c:pt>
                <c:pt idx="18">
                  <c:v>59</c:v>
                </c:pt>
                <c:pt idx="19">
                  <c:v>46</c:v>
                </c:pt>
                <c:pt idx="20">
                  <c:v>79</c:v>
                </c:pt>
                <c:pt idx="21">
                  <c:v>30</c:v>
                </c:pt>
                <c:pt idx="22">
                  <c:v>87</c:v>
                </c:pt>
                <c:pt idx="23">
                  <c:v>33</c:v>
                </c:pt>
                <c:pt idx="24">
                  <c:v>10</c:v>
                </c:pt>
                <c:pt idx="25">
                  <c:v>38</c:v>
                </c:pt>
                <c:pt idx="26">
                  <c:v>4</c:v>
                </c:pt>
                <c:pt idx="27">
                  <c:v>52</c:v>
                </c:pt>
                <c:pt idx="28">
                  <c:v>26</c:v>
                </c:pt>
                <c:pt idx="29">
                  <c:v>99</c:v>
                </c:pt>
              </c:numCache>
            </c:numRef>
          </c:val>
          <c:smooth val="0"/>
          <c:extLst>
            <c:ext xmlns:c16="http://schemas.microsoft.com/office/drawing/2014/chart" uri="{C3380CC4-5D6E-409C-BE32-E72D297353CC}">
              <c16:uniqueId val="{00000000-28A2-4B72-AFBF-4367A53A3DE5}"/>
            </c:ext>
          </c:extLst>
        </c:ser>
        <c:dLbls>
          <c:showLegendKey val="0"/>
          <c:showVal val="0"/>
          <c:showCatName val="0"/>
          <c:showSerName val="0"/>
          <c:showPercent val="0"/>
          <c:showBubbleSize val="0"/>
        </c:dLbls>
        <c:marker val="1"/>
        <c:smooth val="0"/>
        <c:axId val="228063647"/>
        <c:axId val="228064127"/>
      </c:lineChart>
      <c:catAx>
        <c:axId val="22806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064127"/>
        <c:crosses val="autoZero"/>
        <c:auto val="1"/>
        <c:lblAlgn val="ctr"/>
        <c:lblOffset val="100"/>
        <c:noMultiLvlLbl val="0"/>
      </c:catAx>
      <c:valAx>
        <c:axId val="22806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06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[sample.xlsx]INVENTORY_TABLE!PivotTable11</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INVENTORY_TABLE!$AA$3</c:f>
              <c:strCache>
                <c:ptCount val="1"/>
                <c:pt idx="0">
                  <c:v>Total</c:v>
                </c:pt>
              </c:strCache>
            </c:strRef>
          </c:tx>
          <c:spPr>
            <a:solidFill>
              <a:schemeClr val="accent1"/>
            </a:solidFill>
            <a:ln>
              <a:noFill/>
            </a:ln>
            <a:effectLst/>
          </c:spPr>
          <c:invertIfNegative val="0"/>
          <c:cat>
            <c:strRef>
              <c:f>INVENTORY_TABLE!$Z$4:$Z$34</c:f>
              <c:strCache>
                <c:ptCount val="30"/>
                <c:pt idx="0">
                  <c:v>FUR-BO-10002545</c:v>
                </c:pt>
                <c:pt idx="1">
                  <c:v>FUR-BO-10004709</c:v>
                </c:pt>
                <c:pt idx="2">
                  <c:v>FUR-FU-10000010</c:v>
                </c:pt>
                <c:pt idx="3">
                  <c:v>FUR-FU-10000076</c:v>
                </c:pt>
                <c:pt idx="4">
                  <c:v>FUR-FU-10002445</c:v>
                </c:pt>
                <c:pt idx="5">
                  <c:v>FUR-FU-10004270</c:v>
                </c:pt>
                <c:pt idx="6">
                  <c:v>FUR-TA-10000617</c:v>
                </c:pt>
                <c:pt idx="7">
                  <c:v>OFF-AR-10001955</c:v>
                </c:pt>
                <c:pt idx="8">
                  <c:v>OFF-AR-10003696</c:v>
                </c:pt>
                <c:pt idx="9">
                  <c:v>OFF-AR-10003958</c:v>
                </c:pt>
                <c:pt idx="10">
                  <c:v>OFF-AR-10004078</c:v>
                </c:pt>
                <c:pt idx="11">
                  <c:v>OFF-BI-10001460</c:v>
                </c:pt>
                <c:pt idx="12">
                  <c:v>OFF-BI-10002026</c:v>
                </c:pt>
                <c:pt idx="13">
                  <c:v>OFF-BI-10004236</c:v>
                </c:pt>
                <c:pt idx="14">
                  <c:v>OFF-BI-10004364</c:v>
                </c:pt>
                <c:pt idx="15">
                  <c:v>OFF-PA-10001166</c:v>
                </c:pt>
                <c:pt idx="16">
                  <c:v>OFF-PA-10003656</c:v>
                </c:pt>
                <c:pt idx="17">
                  <c:v>OFF-PA-10004621</c:v>
                </c:pt>
                <c:pt idx="18">
                  <c:v>OFF-ST-10003692</c:v>
                </c:pt>
                <c:pt idx="19">
                  <c:v>TEC-AC-10000420</c:v>
                </c:pt>
                <c:pt idx="20">
                  <c:v>TEC-AC-10001714</c:v>
                </c:pt>
                <c:pt idx="21">
                  <c:v>TEC-AC-10002217</c:v>
                </c:pt>
                <c:pt idx="22">
                  <c:v>TEC-AC-10002335</c:v>
                </c:pt>
                <c:pt idx="23">
                  <c:v>TEC-AC-10002942</c:v>
                </c:pt>
                <c:pt idx="24">
                  <c:v>TEC-CO-10000971</c:v>
                </c:pt>
                <c:pt idx="25">
                  <c:v>TEC-PH-10000455</c:v>
                </c:pt>
                <c:pt idx="26">
                  <c:v>TEC-PH-10002726</c:v>
                </c:pt>
                <c:pt idx="27">
                  <c:v>TEC-PH-10002890</c:v>
                </c:pt>
                <c:pt idx="28">
                  <c:v>TEC-PH-10002923</c:v>
                </c:pt>
                <c:pt idx="29">
                  <c:v>TEC-PH-10004080</c:v>
                </c:pt>
              </c:strCache>
            </c:strRef>
          </c:cat>
          <c:val>
            <c:numRef>
              <c:f>INVENTORY_TABLE!$AA$4:$AA$34</c:f>
              <c:numCache>
                <c:formatCode>General</c:formatCode>
                <c:ptCount val="30"/>
                <c:pt idx="0">
                  <c:v>93</c:v>
                </c:pt>
                <c:pt idx="1">
                  <c:v>149</c:v>
                </c:pt>
                <c:pt idx="2">
                  <c:v>9</c:v>
                </c:pt>
                <c:pt idx="3">
                  <c:v>88</c:v>
                </c:pt>
                <c:pt idx="4">
                  <c:v>43</c:v>
                </c:pt>
                <c:pt idx="5">
                  <c:v>93</c:v>
                </c:pt>
                <c:pt idx="6">
                  <c:v>90</c:v>
                </c:pt>
                <c:pt idx="7">
                  <c:v>73</c:v>
                </c:pt>
                <c:pt idx="8">
                  <c:v>13</c:v>
                </c:pt>
                <c:pt idx="9">
                  <c:v>50</c:v>
                </c:pt>
                <c:pt idx="10">
                  <c:v>81</c:v>
                </c:pt>
                <c:pt idx="11">
                  <c:v>61</c:v>
                </c:pt>
                <c:pt idx="12">
                  <c:v>98</c:v>
                </c:pt>
                <c:pt idx="13">
                  <c:v>70</c:v>
                </c:pt>
                <c:pt idx="14">
                  <c:v>84</c:v>
                </c:pt>
                <c:pt idx="15">
                  <c:v>20</c:v>
                </c:pt>
                <c:pt idx="16">
                  <c:v>36</c:v>
                </c:pt>
                <c:pt idx="17">
                  <c:v>49</c:v>
                </c:pt>
                <c:pt idx="18">
                  <c:v>59</c:v>
                </c:pt>
                <c:pt idx="19">
                  <c:v>46</c:v>
                </c:pt>
                <c:pt idx="20">
                  <c:v>79</c:v>
                </c:pt>
                <c:pt idx="21">
                  <c:v>30</c:v>
                </c:pt>
                <c:pt idx="22">
                  <c:v>87</c:v>
                </c:pt>
                <c:pt idx="23">
                  <c:v>33</c:v>
                </c:pt>
                <c:pt idx="24">
                  <c:v>10</c:v>
                </c:pt>
                <c:pt idx="25">
                  <c:v>38</c:v>
                </c:pt>
                <c:pt idx="26">
                  <c:v>4</c:v>
                </c:pt>
                <c:pt idx="27">
                  <c:v>52</c:v>
                </c:pt>
                <c:pt idx="28">
                  <c:v>26</c:v>
                </c:pt>
                <c:pt idx="29">
                  <c:v>99</c:v>
                </c:pt>
              </c:numCache>
            </c:numRef>
          </c:val>
          <c:extLst>
            <c:ext xmlns:c16="http://schemas.microsoft.com/office/drawing/2014/chart" uri="{C3380CC4-5D6E-409C-BE32-E72D297353CC}">
              <c16:uniqueId val="{00000000-E970-4869-BB3E-CDB4FF29E157}"/>
            </c:ext>
          </c:extLst>
        </c:ser>
        <c:dLbls>
          <c:showLegendKey val="0"/>
          <c:showVal val="0"/>
          <c:showCatName val="0"/>
          <c:showSerName val="0"/>
          <c:showPercent val="0"/>
          <c:showBubbleSize val="0"/>
        </c:dLbls>
        <c:gapWidth val="182"/>
        <c:axId val="2055872432"/>
        <c:axId val="2055868112"/>
      </c:barChart>
      <c:catAx>
        <c:axId val="205587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68112"/>
        <c:crosses val="autoZero"/>
        <c:auto val="1"/>
        <c:lblAlgn val="ctr"/>
        <c:lblOffset val="100"/>
        <c:noMultiLvlLbl val="0"/>
      </c:catAx>
      <c:valAx>
        <c:axId val="2055868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7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[sample.xlsx]SALES_TABLE!PivotTable13</c:name>
    <c:fmtId val="2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SALES_TABLE!$AC$4</c:f>
              <c:strCache>
                <c:ptCount val="1"/>
                <c:pt idx="0">
                  <c:v>Sum of Target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SALES_TABLE!$AB$5:$AB$17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SALES_TABLE!$AC$5:$AC$17</c:f>
              <c:numCache>
                <c:formatCode>General</c:formatCode>
                <c:ptCount val="12"/>
                <c:pt idx="0">
                  <c:v>275000</c:v>
                </c:pt>
                <c:pt idx="1">
                  <c:v>285000</c:v>
                </c:pt>
                <c:pt idx="2">
                  <c:v>295000</c:v>
                </c:pt>
                <c:pt idx="3">
                  <c:v>306000</c:v>
                </c:pt>
                <c:pt idx="4">
                  <c:v>243000</c:v>
                </c:pt>
                <c:pt idx="5">
                  <c:v>251000</c:v>
                </c:pt>
                <c:pt idx="6">
                  <c:v>259000</c:v>
                </c:pt>
                <c:pt idx="7">
                  <c:v>267000</c:v>
                </c:pt>
                <c:pt idx="8">
                  <c:v>275000</c:v>
                </c:pt>
                <c:pt idx="9">
                  <c:v>283000</c:v>
                </c:pt>
                <c:pt idx="10">
                  <c:v>291000</c:v>
                </c:pt>
                <c:pt idx="11">
                  <c:v>299000</c:v>
                </c:pt>
              </c:numCache>
            </c:numRef>
          </c:val>
          <c:smooth val="0"/>
          <c:extLst>
            <c:ext xmlns:c16="http://schemas.microsoft.com/office/drawing/2014/chart" uri="{C3380CC4-5D6E-409C-BE32-E72D297353CC}">
              <c16:uniqueId val="{00000000-2189-4034-A692-2F4BE2804122}"/>
            </c:ext>
          </c:extLst>
        </c:ser>
        <c:ser>
          <c:idx val="1"/>
          <c:order val="1"/>
          <c:tx>
            <c:strRef>
              <c:f>SALES_TABLE!$AD$4</c:f>
              <c:strCache>
                <c:ptCount val="1"/>
                <c:pt idx="0">
                  <c:v>Count of Months (Month)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SALES_TABLE!$AB$5:$AB$17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SALES_TABLE!$AD$5:$AD$17</c:f>
              <c:numCache>
                <c:formatCode>General</c:formatCode>
                <c:ptCount val="12"/>
                <c:pt idx="0">
                  <c:v>5</c:v>
                </c:pt>
                <c:pt idx="1">
                  <c:v>5</c:v>
                </c:pt>
                <c:pt idx="2">
                  <c:v>5</c:v>
                </c:pt>
                <c:pt idx="3">
                  <c:v>5</c:v>
                </c:pt>
                <c:pt idx="4">
                  <c:v>4</c:v>
                </c:pt>
                <c:pt idx="5">
                  <c:v>4</c:v>
                </c:pt>
                <c:pt idx="6">
                  <c:v>4</c:v>
                </c:pt>
                <c:pt idx="7">
                  <c:v>4</c:v>
                </c:pt>
                <c:pt idx="8">
                  <c:v>4</c:v>
                </c:pt>
                <c:pt idx="9">
                  <c:v>4</c:v>
                </c:pt>
                <c:pt idx="10">
                  <c:v>4</c:v>
                </c:pt>
                <c:pt idx="11">
                  <c:v>4</c:v>
                </c:pt>
              </c:numCache>
            </c:numRef>
          </c:val>
          <c:smooth val="0"/>
          <c:extLst>
            <c:ext xmlns:c16="http://schemas.microsoft.com/office/drawing/2014/chart" uri="{C3380CC4-5D6E-409C-BE32-E72D297353CC}">
              <c16:uniqueId val="{00000001-2189-4034-A692-2F4BE2804122}"/>
            </c:ext>
          </c:extLst>
        </c:ser>
        <c:dLbls>
          <c:showLegendKey val="0"/>
          <c:showVal val="0"/>
          <c:showCatName val="0"/>
          <c:showSerName val="0"/>
          <c:showPercent val="0"/>
          <c:showBubbleSize val="0"/>
        </c:dLbls>
        <c:marker val="1"/>
        <c:smooth val="0"/>
        <c:axId val="824150400"/>
        <c:axId val="824134080"/>
      </c:lineChart>
      <c:catAx>
        <c:axId val="82415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34080"/>
        <c:crosses val="autoZero"/>
        <c:auto val="1"/>
        <c:lblAlgn val="ctr"/>
        <c:lblOffset val="100"/>
        <c:noMultiLvlLbl val="0"/>
      </c:catAx>
      <c:valAx>
        <c:axId val="82413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5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[sample.xlsx]SALES_TABLE!PivotTable13</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SALES_TABLE!$AC$4</c:f>
              <c:strCache>
                <c:ptCount val="1"/>
                <c:pt idx="0">
                  <c:v>Sum of Target Sales</c:v>
                </c:pt>
              </c:strCache>
            </c:strRef>
          </c:tx>
          <c:spPr>
            <a:solidFill>
              <a:schemeClr val="accent1"/>
            </a:solidFill>
            <a:ln>
              <a:noFill/>
            </a:ln>
            <a:effectLst/>
          </c:spPr>
          <c:invertIfNegative val="0"/>
          <c:cat>
            <c:strRef>
              <c:f>SALES_TABLE!$AB$5:$AB$17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SALES_TABLE!$AC$5:$AC$17</c:f>
              <c:numCache>
                <c:formatCode>General</c:formatCode>
                <c:ptCount val="12"/>
                <c:pt idx="0">
                  <c:v>275000</c:v>
                </c:pt>
                <c:pt idx="1">
                  <c:v>285000</c:v>
                </c:pt>
                <c:pt idx="2">
                  <c:v>295000</c:v>
                </c:pt>
                <c:pt idx="3">
                  <c:v>306000</c:v>
                </c:pt>
                <c:pt idx="4">
                  <c:v>243000</c:v>
                </c:pt>
                <c:pt idx="5">
                  <c:v>251000</c:v>
                </c:pt>
                <c:pt idx="6">
                  <c:v>259000</c:v>
                </c:pt>
                <c:pt idx="7">
                  <c:v>267000</c:v>
                </c:pt>
                <c:pt idx="8">
                  <c:v>275000</c:v>
                </c:pt>
                <c:pt idx="9">
                  <c:v>283000</c:v>
                </c:pt>
                <c:pt idx="10">
                  <c:v>291000</c:v>
                </c:pt>
                <c:pt idx="11">
                  <c:v>299000</c:v>
                </c:pt>
              </c:numCache>
            </c:numRef>
          </c:val>
          <c:extLst>
            <c:ext xmlns:c16="http://schemas.microsoft.com/office/drawing/2014/chart" uri="{C3380CC4-5D6E-409C-BE32-E72D297353CC}">
              <c16:uniqueId val="{00000000-E901-4EDF-BAC7-708C4E5E0244}"/>
            </c:ext>
          </c:extLst>
        </c:ser>
        <c:ser>
          <c:idx val="1"/>
          <c:order val="1"/>
          <c:tx>
            <c:strRef>
              <c:f>SALES_TABLE!$AD$4</c:f>
              <c:strCache>
                <c:ptCount val="1"/>
                <c:pt idx="0">
                  <c:v>Count of Months (Month)</c:v>
                </c:pt>
              </c:strCache>
            </c:strRef>
          </c:tx>
          <c:spPr>
            <a:solidFill>
              <a:schemeClr val="accent2"/>
            </a:solidFill>
            <a:ln>
              <a:noFill/>
            </a:ln>
            <a:effectLst/>
          </c:spPr>
          <c:invertIfNegative val="0"/>
          <c:cat>
            <c:strRef>
              <c:f>SALES_TABLE!$AB$5:$AB$17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SALES_TABLE!$AD$5:$AD$17</c:f>
              <c:numCache>
                <c:formatCode>General</c:formatCode>
                <c:ptCount val="12"/>
                <c:pt idx="0">
                  <c:v>5</c:v>
                </c:pt>
                <c:pt idx="1">
                  <c:v>5</c:v>
                </c:pt>
                <c:pt idx="2">
                  <c:v>5</c:v>
                </c:pt>
                <c:pt idx="3">
                  <c:v>5</c:v>
                </c:pt>
                <c:pt idx="4">
                  <c:v>4</c:v>
                </c:pt>
                <c:pt idx="5">
                  <c:v>4</c:v>
                </c:pt>
                <c:pt idx="6">
                  <c:v>4</c:v>
                </c:pt>
                <c:pt idx="7">
                  <c:v>4</c:v>
                </c:pt>
                <c:pt idx="8">
                  <c:v>4</c:v>
                </c:pt>
                <c:pt idx="9">
                  <c:v>4</c:v>
                </c:pt>
                <c:pt idx="10">
                  <c:v>4</c:v>
                </c:pt>
                <c:pt idx="11">
                  <c:v>4</c:v>
                </c:pt>
              </c:numCache>
            </c:numRef>
          </c:val>
          <c:extLst>
            <c:ext xmlns:c16="http://schemas.microsoft.com/office/drawing/2014/chart" uri="{C3380CC4-5D6E-409C-BE32-E72D297353CC}">
              <c16:uniqueId val="{00000001-E901-4EDF-BAC7-708C4E5E0244}"/>
            </c:ext>
          </c:extLst>
        </c:ser>
        <c:dLbls>
          <c:showLegendKey val="0"/>
          <c:showVal val="0"/>
          <c:showCatName val="0"/>
          <c:showSerName val="0"/>
          <c:showPercent val="0"/>
          <c:showBubbleSize val="0"/>
        </c:dLbls>
        <c:gapWidth val="219"/>
        <c:overlap val="-27"/>
        <c:axId val="231427951"/>
        <c:axId val="231435151"/>
      </c:barChart>
      <c:catAx>
        <c:axId val="23142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435151"/>
        <c:crosses val="autoZero"/>
        <c:auto val="1"/>
        <c:lblAlgn val="ctr"/>
        <c:lblOffset val="100"/>
        <c:noMultiLvlLbl val="0"/>
      </c:catAx>
      <c:valAx>
        <c:axId val="23143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42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[sample.xlsx]CUST-TABLE!PivotTable9</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'CUST-TABLE'!$R$21</c:f>
              <c:strCache>
                <c:ptCount val="1"/>
                <c:pt idx="0">
                  <c:v>Total</c:v>
                </c:pt>
              </c:strCache>
            </c:strRef>
          </c:tx>
          <c:spPr>
            <a:solidFill>
              <a:schemeClr val="accent1"/>
            </a:solidFill>
            <a:ln>
              <a:noFill/>
            </a:ln>
            <a:effectLst/>
          </c:spPr>
          <c:invertIfNegative val="0"/>
          <c:cat>
            <c:strRef>
              <c:f>'CUST-TABLE'!$Q$22:$Q$64</c:f>
              <c:strCache>
                <c:ptCount val="42"/>
                <c:pt idx="0">
                  <c:v>AG-10675</c:v>
                </c:pt>
                <c:pt idx="1">
                  <c:v>AJ-10795</c:v>
                </c:pt>
                <c:pt idx="2">
                  <c:v>BE-11335</c:v>
                </c:pt>
                <c:pt idx="3">
                  <c:v>BM-11575</c:v>
                </c:pt>
                <c:pt idx="4">
                  <c:v>BO-11350</c:v>
                </c:pt>
                <c:pt idx="5">
                  <c:v>BP-11185</c:v>
                </c:pt>
                <c:pt idx="6">
                  <c:v>BT-11530</c:v>
                </c:pt>
                <c:pt idx="7">
                  <c:v>CA-12310</c:v>
                </c:pt>
                <c:pt idx="8">
                  <c:v>CB-12415</c:v>
                </c:pt>
                <c:pt idx="9">
                  <c:v>CB-12535</c:v>
                </c:pt>
                <c:pt idx="10">
                  <c:v>CC-12430</c:v>
                </c:pt>
                <c:pt idx="11">
                  <c:v>CM-11935</c:v>
                </c:pt>
                <c:pt idx="12">
                  <c:v>DE-13255</c:v>
                </c:pt>
                <c:pt idx="13">
                  <c:v>DF-13135</c:v>
                </c:pt>
                <c:pt idx="14">
                  <c:v>DL-13495</c:v>
                </c:pt>
                <c:pt idx="15">
                  <c:v>Dp-13240</c:v>
                </c:pt>
                <c:pt idx="16">
                  <c:v>DW-13480</c:v>
                </c:pt>
                <c:pt idx="17">
                  <c:v>EB-13975</c:v>
                </c:pt>
                <c:pt idx="18">
                  <c:v>EH-13945</c:v>
                </c:pt>
                <c:pt idx="19">
                  <c:v>FP-14320</c:v>
                </c:pt>
                <c:pt idx="20">
                  <c:v>HE-14800</c:v>
                </c:pt>
                <c:pt idx="21">
                  <c:v>HG-14965</c:v>
                </c:pt>
                <c:pt idx="22">
                  <c:v>JB-16000</c:v>
                </c:pt>
                <c:pt idx="23">
                  <c:v>JD-15895</c:v>
                </c:pt>
                <c:pt idx="24">
                  <c:v>JF-15490</c:v>
                </c:pt>
                <c:pt idx="25">
                  <c:v>JO-15145</c:v>
                </c:pt>
                <c:pt idx="26">
                  <c:v>KB-16585</c:v>
                </c:pt>
                <c:pt idx="27">
                  <c:v>LA-16780</c:v>
                </c:pt>
                <c:pt idx="28">
                  <c:v>LR-16915</c:v>
                </c:pt>
                <c:pt idx="29">
                  <c:v>MC-17275</c:v>
                </c:pt>
                <c:pt idx="30">
                  <c:v>MF-17665</c:v>
                </c:pt>
                <c:pt idx="31">
                  <c:v>MP-17470</c:v>
                </c:pt>
                <c:pt idx="32">
                  <c:v>NM-18520</c:v>
                </c:pt>
                <c:pt idx="33">
                  <c:v>PG-18895</c:v>
                </c:pt>
                <c:pt idx="34">
                  <c:v>RC-19825</c:v>
                </c:pt>
                <c:pt idx="35">
                  <c:v>SC-20725</c:v>
                </c:pt>
                <c:pt idx="36">
                  <c:v>TB-21250</c:v>
                </c:pt>
                <c:pt idx="37">
                  <c:v>TB-21280</c:v>
                </c:pt>
                <c:pt idx="38">
                  <c:v>TB-21355</c:v>
                </c:pt>
                <c:pt idx="39">
                  <c:v>TD-20995</c:v>
                </c:pt>
                <c:pt idx="40">
                  <c:v>VS-21820</c:v>
                </c:pt>
                <c:pt idx="41">
                  <c:v>WB-21850</c:v>
                </c:pt>
              </c:strCache>
            </c:strRef>
          </c:cat>
          <c:val>
            <c:numRef>
              <c:f>'CUST-TABLE'!$R$22:$R$64</c:f>
              <c:numCache>
                <c:formatCode>General</c:formatCode>
                <c:ptCount val="42"/>
                <c:pt idx="0">
                  <c:v>2</c:v>
                </c:pt>
                <c:pt idx="1">
                  <c:v>4</c:v>
                </c:pt>
                <c:pt idx="2">
                  <c:v>1</c:v>
                </c:pt>
                <c:pt idx="3">
                  <c:v>3</c:v>
                </c:pt>
                <c:pt idx="4">
                  <c:v>2</c:v>
                </c:pt>
                <c:pt idx="5">
                  <c:v>2</c:v>
                </c:pt>
                <c:pt idx="6">
                  <c:v>2</c:v>
                </c:pt>
                <c:pt idx="7">
                  <c:v>3</c:v>
                </c:pt>
                <c:pt idx="8">
                  <c:v>1</c:v>
                </c:pt>
                <c:pt idx="9">
                  <c:v>3</c:v>
                </c:pt>
                <c:pt idx="10">
                  <c:v>3</c:v>
                </c:pt>
                <c:pt idx="11">
                  <c:v>3</c:v>
                </c:pt>
                <c:pt idx="12">
                  <c:v>3</c:v>
                </c:pt>
                <c:pt idx="13">
                  <c:v>2</c:v>
                </c:pt>
                <c:pt idx="14">
                  <c:v>1</c:v>
                </c:pt>
                <c:pt idx="15">
                  <c:v>3</c:v>
                </c:pt>
                <c:pt idx="16">
                  <c:v>1</c:v>
                </c:pt>
                <c:pt idx="17">
                  <c:v>1</c:v>
                </c:pt>
                <c:pt idx="18">
                  <c:v>2</c:v>
                </c:pt>
                <c:pt idx="19">
                  <c:v>2</c:v>
                </c:pt>
                <c:pt idx="20">
                  <c:v>1</c:v>
                </c:pt>
                <c:pt idx="21">
                  <c:v>2</c:v>
                </c:pt>
                <c:pt idx="22">
                  <c:v>1</c:v>
                </c:pt>
                <c:pt idx="23">
                  <c:v>4</c:v>
                </c:pt>
                <c:pt idx="24">
                  <c:v>1</c:v>
                </c:pt>
                <c:pt idx="25">
                  <c:v>2</c:v>
                </c:pt>
                <c:pt idx="26">
                  <c:v>2</c:v>
                </c:pt>
                <c:pt idx="27">
                  <c:v>2</c:v>
                </c:pt>
                <c:pt idx="28">
                  <c:v>1</c:v>
                </c:pt>
                <c:pt idx="29">
                  <c:v>1</c:v>
                </c:pt>
                <c:pt idx="30">
                  <c:v>1</c:v>
                </c:pt>
                <c:pt idx="31">
                  <c:v>1</c:v>
                </c:pt>
                <c:pt idx="32">
                  <c:v>2</c:v>
                </c:pt>
                <c:pt idx="33">
                  <c:v>1</c:v>
                </c:pt>
                <c:pt idx="34">
                  <c:v>1</c:v>
                </c:pt>
                <c:pt idx="35">
                  <c:v>3</c:v>
                </c:pt>
                <c:pt idx="36">
                  <c:v>2</c:v>
                </c:pt>
                <c:pt idx="37">
                  <c:v>1</c:v>
                </c:pt>
                <c:pt idx="38">
                  <c:v>2</c:v>
                </c:pt>
                <c:pt idx="39">
                  <c:v>2</c:v>
                </c:pt>
                <c:pt idx="40">
                  <c:v>3</c:v>
                </c:pt>
                <c:pt idx="41">
                  <c:v>3</c:v>
                </c:pt>
              </c:numCache>
            </c:numRef>
          </c:val>
          <c:extLst>
            <c:ext xmlns:c16="http://schemas.microsoft.com/office/drawing/2014/chart" uri="{C3380CC4-5D6E-409C-BE32-E72D297353CC}">
              <c16:uniqueId val="{00000000-7223-42FA-A6F6-6C93A4170050}"/>
            </c:ext>
          </c:extLst>
        </c:ser>
        <c:dLbls>
          <c:showLegendKey val="0"/>
          <c:showVal val="0"/>
          <c:showCatName val="0"/>
          <c:showSerName val="0"/>
          <c:showPercent val="0"/>
          <c:showBubbleSize val="0"/>
        </c:dLbls>
        <c:gapWidth val="219"/>
        <c:overlap val="-27"/>
        <c:axId val="823171264"/>
        <c:axId val="823171744"/>
      </c:barChart>
      <c:catAx>
        <c:axId val="82317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171744"/>
        <c:crosses val="autoZero"/>
        <c:auto val="1"/>
        <c:lblAlgn val="ctr"/>
        <c:lblOffset val="100"/>
        <c:noMultiLvlLbl val="0"/>
      </c:catAx>
      <c:valAx>
        <c:axId val="82317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17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[sample.xlsx]CUST-TABLE!PivotTable9</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'CUST-TABLE'!$R$21</c:f>
              <c:strCache>
                <c:ptCount val="1"/>
                <c:pt idx="0">
                  <c:v>Total</c:v>
                </c:pt>
              </c:strCache>
            </c:strRef>
          </c:tx>
          <c:spPr>
            <a:ln w="28575" cap="rnd">
              <a:solidFill>
                <a:schemeClr val="accent1"/>
              </a:solidFill>
              <a:round/>
            </a:ln>
            <a:effectLst/>
          </c:spPr>
          <c:marker>
            <c:symbol val="none"/>
          </c:marker>
          <c:cat>
            <c:strRef>
              <c:f>'CUST-TABLE'!$Q$22:$Q$64</c:f>
              <c:strCache>
                <c:ptCount val="42"/>
                <c:pt idx="0">
                  <c:v>AG-10675</c:v>
                </c:pt>
                <c:pt idx="1">
                  <c:v>AJ-10795</c:v>
                </c:pt>
                <c:pt idx="2">
                  <c:v>BE-11335</c:v>
                </c:pt>
                <c:pt idx="3">
                  <c:v>BM-11575</c:v>
                </c:pt>
                <c:pt idx="4">
                  <c:v>BO-11350</c:v>
                </c:pt>
                <c:pt idx="5">
                  <c:v>BP-11185</c:v>
                </c:pt>
                <c:pt idx="6">
                  <c:v>BT-11530</c:v>
                </c:pt>
                <c:pt idx="7">
                  <c:v>CA-12310</c:v>
                </c:pt>
                <c:pt idx="8">
                  <c:v>CB-12415</c:v>
                </c:pt>
                <c:pt idx="9">
                  <c:v>CB-12535</c:v>
                </c:pt>
                <c:pt idx="10">
                  <c:v>CC-12430</c:v>
                </c:pt>
                <c:pt idx="11">
                  <c:v>CM-11935</c:v>
                </c:pt>
                <c:pt idx="12">
                  <c:v>DE-13255</c:v>
                </c:pt>
                <c:pt idx="13">
                  <c:v>DF-13135</c:v>
                </c:pt>
                <c:pt idx="14">
                  <c:v>DL-13495</c:v>
                </c:pt>
                <c:pt idx="15">
                  <c:v>Dp-13240</c:v>
                </c:pt>
                <c:pt idx="16">
                  <c:v>DW-13480</c:v>
                </c:pt>
                <c:pt idx="17">
                  <c:v>EB-13975</c:v>
                </c:pt>
                <c:pt idx="18">
                  <c:v>EH-13945</c:v>
                </c:pt>
                <c:pt idx="19">
                  <c:v>FP-14320</c:v>
                </c:pt>
                <c:pt idx="20">
                  <c:v>HE-14800</c:v>
                </c:pt>
                <c:pt idx="21">
                  <c:v>HG-14965</c:v>
                </c:pt>
                <c:pt idx="22">
                  <c:v>JB-16000</c:v>
                </c:pt>
                <c:pt idx="23">
                  <c:v>JD-15895</c:v>
                </c:pt>
                <c:pt idx="24">
                  <c:v>JF-15490</c:v>
                </c:pt>
                <c:pt idx="25">
                  <c:v>JO-15145</c:v>
                </c:pt>
                <c:pt idx="26">
                  <c:v>KB-16585</c:v>
                </c:pt>
                <c:pt idx="27">
                  <c:v>LA-16780</c:v>
                </c:pt>
                <c:pt idx="28">
                  <c:v>LR-16915</c:v>
                </c:pt>
                <c:pt idx="29">
                  <c:v>MC-17275</c:v>
                </c:pt>
                <c:pt idx="30">
                  <c:v>MF-17665</c:v>
                </c:pt>
                <c:pt idx="31">
                  <c:v>MP-17470</c:v>
                </c:pt>
                <c:pt idx="32">
                  <c:v>NM-18520</c:v>
                </c:pt>
                <c:pt idx="33">
                  <c:v>PG-18895</c:v>
                </c:pt>
                <c:pt idx="34">
                  <c:v>RC-19825</c:v>
                </c:pt>
                <c:pt idx="35">
                  <c:v>SC-20725</c:v>
                </c:pt>
                <c:pt idx="36">
                  <c:v>TB-21250</c:v>
                </c:pt>
                <c:pt idx="37">
                  <c:v>TB-21280</c:v>
                </c:pt>
                <c:pt idx="38">
                  <c:v>TB-21355</c:v>
                </c:pt>
                <c:pt idx="39">
                  <c:v>TD-20995</c:v>
                </c:pt>
                <c:pt idx="40">
                  <c:v>VS-21820</c:v>
                </c:pt>
                <c:pt idx="41">
                  <c:v>WB-21850</c:v>
                </c:pt>
              </c:strCache>
            </c:strRef>
          </c:cat>
          <c:val>
            <c:numRef>
              <c:f>'CUST-TABLE'!$R$22:$R$64</c:f>
              <c:numCache>
                <c:formatCode>General</c:formatCode>
                <c:ptCount val="42"/>
                <c:pt idx="0">
                  <c:v>2</c:v>
                </c:pt>
                <c:pt idx="1">
                  <c:v>4</c:v>
                </c:pt>
                <c:pt idx="2">
                  <c:v>1</c:v>
                </c:pt>
                <c:pt idx="3">
                  <c:v>3</c:v>
                </c:pt>
                <c:pt idx="4">
                  <c:v>2</c:v>
                </c:pt>
                <c:pt idx="5">
                  <c:v>2</c:v>
                </c:pt>
                <c:pt idx="6">
                  <c:v>2</c:v>
                </c:pt>
                <c:pt idx="7">
                  <c:v>3</c:v>
                </c:pt>
                <c:pt idx="8">
                  <c:v>1</c:v>
                </c:pt>
                <c:pt idx="9">
                  <c:v>3</c:v>
                </c:pt>
                <c:pt idx="10">
                  <c:v>3</c:v>
                </c:pt>
                <c:pt idx="11">
                  <c:v>3</c:v>
                </c:pt>
                <c:pt idx="12">
                  <c:v>3</c:v>
                </c:pt>
                <c:pt idx="13">
                  <c:v>2</c:v>
                </c:pt>
                <c:pt idx="14">
                  <c:v>1</c:v>
                </c:pt>
                <c:pt idx="15">
                  <c:v>3</c:v>
                </c:pt>
                <c:pt idx="16">
                  <c:v>1</c:v>
                </c:pt>
                <c:pt idx="17">
                  <c:v>1</c:v>
                </c:pt>
                <c:pt idx="18">
                  <c:v>2</c:v>
                </c:pt>
                <c:pt idx="19">
                  <c:v>2</c:v>
                </c:pt>
                <c:pt idx="20">
                  <c:v>1</c:v>
                </c:pt>
                <c:pt idx="21">
                  <c:v>2</c:v>
                </c:pt>
                <c:pt idx="22">
                  <c:v>1</c:v>
                </c:pt>
                <c:pt idx="23">
                  <c:v>4</c:v>
                </c:pt>
                <c:pt idx="24">
                  <c:v>1</c:v>
                </c:pt>
                <c:pt idx="25">
                  <c:v>2</c:v>
                </c:pt>
                <c:pt idx="26">
                  <c:v>2</c:v>
                </c:pt>
                <c:pt idx="27">
                  <c:v>2</c:v>
                </c:pt>
                <c:pt idx="28">
                  <c:v>1</c:v>
                </c:pt>
                <c:pt idx="29">
                  <c:v>1</c:v>
                </c:pt>
                <c:pt idx="30">
                  <c:v>1</c:v>
                </c:pt>
                <c:pt idx="31">
                  <c:v>1</c:v>
                </c:pt>
                <c:pt idx="32">
                  <c:v>2</c:v>
                </c:pt>
                <c:pt idx="33">
                  <c:v>1</c:v>
                </c:pt>
                <c:pt idx="34">
                  <c:v>1</c:v>
                </c:pt>
                <c:pt idx="35">
                  <c:v>3</c:v>
                </c:pt>
                <c:pt idx="36">
                  <c:v>2</c:v>
                </c:pt>
                <c:pt idx="37">
                  <c:v>1</c:v>
                </c:pt>
                <c:pt idx="38">
                  <c:v>2</c:v>
                </c:pt>
                <c:pt idx="39">
                  <c:v>2</c:v>
                </c:pt>
                <c:pt idx="40">
                  <c:v>3</c:v>
                </c:pt>
                <c:pt idx="41">
                  <c:v>3</c:v>
                </c:pt>
              </c:numCache>
            </c:numRef>
          </c:val>
          <c:smooth val="0"/>
          <c:extLst>
            <c:ext xmlns:c16="http://schemas.microsoft.com/office/drawing/2014/chart" uri="{C3380CC4-5D6E-409C-BE32-E72D297353CC}">
              <c16:uniqueId val="{00000000-9743-4A4F-932A-EAF1442ACB1D}"/>
            </c:ext>
          </c:extLst>
        </c:ser>
        <c:dLbls>
          <c:showLegendKey val="0"/>
          <c:showVal val="0"/>
          <c:showCatName val="0"/>
          <c:showSerName val="0"/>
          <c:showPercent val="0"/>
          <c:showBubbleSize val="0"/>
        </c:dLbls>
        <c:smooth val="0"/>
        <c:axId val="572848512"/>
        <c:axId val="572849472"/>
      </c:lineChart>
      <c:catAx>
        <c:axId val="57284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49472"/>
        <c:crosses val="autoZero"/>
        <c:auto val="1"/>
        <c:lblAlgn val="ctr"/>
        <c:lblOffset val="100"/>
        <c:noMultiLvlLbl val="0"/>
      </c:catAx>
      <c:valAx>
        <c:axId val="57284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4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[sample.xlsx]CUST-TABLE!PivotTable9</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'CUST-TABLE'!$R$21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cat>
            <c:strRef>
              <c:f>'CUST-TABLE'!$Q$22:$Q$64</c:f>
              <c:strCache>
                <c:ptCount val="42"/>
                <c:pt idx="0">
                  <c:v>AG-10675</c:v>
                </c:pt>
                <c:pt idx="1">
                  <c:v>AJ-10795</c:v>
                </c:pt>
                <c:pt idx="2">
                  <c:v>BE-11335</c:v>
                </c:pt>
                <c:pt idx="3">
                  <c:v>BM-11575</c:v>
                </c:pt>
                <c:pt idx="4">
                  <c:v>BO-11350</c:v>
                </c:pt>
                <c:pt idx="5">
                  <c:v>BP-11185</c:v>
                </c:pt>
                <c:pt idx="6">
                  <c:v>BT-11530</c:v>
                </c:pt>
                <c:pt idx="7">
                  <c:v>CA-12310</c:v>
                </c:pt>
                <c:pt idx="8">
                  <c:v>CB-12415</c:v>
                </c:pt>
                <c:pt idx="9">
                  <c:v>CB-12535</c:v>
                </c:pt>
                <c:pt idx="10">
                  <c:v>CC-12430</c:v>
                </c:pt>
                <c:pt idx="11">
                  <c:v>CM-11935</c:v>
                </c:pt>
                <c:pt idx="12">
                  <c:v>DE-13255</c:v>
                </c:pt>
                <c:pt idx="13">
                  <c:v>DF-13135</c:v>
                </c:pt>
                <c:pt idx="14">
                  <c:v>DL-13495</c:v>
                </c:pt>
                <c:pt idx="15">
                  <c:v>Dp-13240</c:v>
                </c:pt>
                <c:pt idx="16">
                  <c:v>DW-13480</c:v>
                </c:pt>
                <c:pt idx="17">
                  <c:v>EB-13975</c:v>
                </c:pt>
                <c:pt idx="18">
                  <c:v>EH-13945</c:v>
                </c:pt>
                <c:pt idx="19">
                  <c:v>FP-14320</c:v>
                </c:pt>
                <c:pt idx="20">
                  <c:v>HE-14800</c:v>
                </c:pt>
                <c:pt idx="21">
                  <c:v>HG-14965</c:v>
                </c:pt>
                <c:pt idx="22">
                  <c:v>JB-16000</c:v>
                </c:pt>
                <c:pt idx="23">
                  <c:v>JD-15895</c:v>
                </c:pt>
                <c:pt idx="24">
                  <c:v>JF-15490</c:v>
                </c:pt>
                <c:pt idx="25">
                  <c:v>JO-15145</c:v>
                </c:pt>
                <c:pt idx="26">
                  <c:v>KB-16585</c:v>
                </c:pt>
                <c:pt idx="27">
                  <c:v>LA-16780</c:v>
                </c:pt>
                <c:pt idx="28">
                  <c:v>LR-16915</c:v>
                </c:pt>
                <c:pt idx="29">
                  <c:v>MC-17275</c:v>
                </c:pt>
                <c:pt idx="30">
                  <c:v>MF-17665</c:v>
                </c:pt>
                <c:pt idx="31">
                  <c:v>MP-17470</c:v>
                </c:pt>
                <c:pt idx="32">
                  <c:v>NM-18520</c:v>
                </c:pt>
                <c:pt idx="33">
                  <c:v>PG-18895</c:v>
                </c:pt>
                <c:pt idx="34">
                  <c:v>RC-19825</c:v>
                </c:pt>
                <c:pt idx="35">
                  <c:v>SC-20725</c:v>
                </c:pt>
                <c:pt idx="36">
                  <c:v>TB-21250</c:v>
                </c:pt>
                <c:pt idx="37">
                  <c:v>TB-21280</c:v>
                </c:pt>
                <c:pt idx="38">
                  <c:v>TB-21355</c:v>
                </c:pt>
                <c:pt idx="39">
                  <c:v>TD-20995</c:v>
                </c:pt>
                <c:pt idx="40">
                  <c:v>VS-21820</c:v>
                </c:pt>
                <c:pt idx="41">
                  <c:v>WB-21850</c:v>
                </c:pt>
              </c:strCache>
            </c:strRef>
          </c:cat>
          <c:val>
            <c:numRef>
              <c:f>'CUST-TABLE'!$R$22:$R$64</c:f>
              <c:numCache>
                <c:formatCode>General</c:formatCode>
                <c:ptCount val="42"/>
                <c:pt idx="0">
                  <c:v>2</c:v>
                </c:pt>
                <c:pt idx="1">
                  <c:v>4</c:v>
                </c:pt>
                <c:pt idx="2">
                  <c:v>1</c:v>
                </c:pt>
                <c:pt idx="3">
                  <c:v>3</c:v>
                </c:pt>
                <c:pt idx="4">
                  <c:v>2</c:v>
                </c:pt>
                <c:pt idx="5">
                  <c:v>2</c:v>
                </c:pt>
                <c:pt idx="6">
                  <c:v>2</c:v>
                </c:pt>
                <c:pt idx="7">
                  <c:v>3</c:v>
                </c:pt>
                <c:pt idx="8">
                  <c:v>1</c:v>
                </c:pt>
                <c:pt idx="9">
                  <c:v>3</c:v>
                </c:pt>
                <c:pt idx="10">
                  <c:v>3</c:v>
                </c:pt>
                <c:pt idx="11">
                  <c:v>3</c:v>
                </c:pt>
                <c:pt idx="12">
                  <c:v>3</c:v>
                </c:pt>
                <c:pt idx="13">
                  <c:v>2</c:v>
                </c:pt>
                <c:pt idx="14">
                  <c:v>1</c:v>
                </c:pt>
                <c:pt idx="15">
                  <c:v>3</c:v>
                </c:pt>
                <c:pt idx="16">
                  <c:v>1</c:v>
                </c:pt>
                <c:pt idx="17">
                  <c:v>1</c:v>
                </c:pt>
                <c:pt idx="18">
                  <c:v>2</c:v>
                </c:pt>
                <c:pt idx="19">
                  <c:v>2</c:v>
                </c:pt>
                <c:pt idx="20">
                  <c:v>1</c:v>
                </c:pt>
                <c:pt idx="21">
                  <c:v>2</c:v>
                </c:pt>
                <c:pt idx="22">
                  <c:v>1</c:v>
                </c:pt>
                <c:pt idx="23">
                  <c:v>4</c:v>
                </c:pt>
                <c:pt idx="24">
                  <c:v>1</c:v>
                </c:pt>
                <c:pt idx="25">
                  <c:v>2</c:v>
                </c:pt>
                <c:pt idx="26">
                  <c:v>2</c:v>
                </c:pt>
                <c:pt idx="27">
                  <c:v>2</c:v>
                </c:pt>
                <c:pt idx="28">
                  <c:v>1</c:v>
                </c:pt>
                <c:pt idx="29">
                  <c:v>1</c:v>
                </c:pt>
                <c:pt idx="30">
                  <c:v>1</c:v>
                </c:pt>
                <c:pt idx="31">
                  <c:v>1</c:v>
                </c:pt>
                <c:pt idx="32">
                  <c:v>2</c:v>
                </c:pt>
                <c:pt idx="33">
                  <c:v>1</c:v>
                </c:pt>
                <c:pt idx="34">
                  <c:v>1</c:v>
                </c:pt>
                <c:pt idx="35">
                  <c:v>3</c:v>
                </c:pt>
                <c:pt idx="36">
                  <c:v>2</c:v>
                </c:pt>
                <c:pt idx="37">
                  <c:v>1</c:v>
                </c:pt>
                <c:pt idx="38">
                  <c:v>2</c:v>
                </c:pt>
                <c:pt idx="39">
                  <c:v>2</c:v>
                </c:pt>
                <c:pt idx="40">
                  <c:v>3</c:v>
                </c:pt>
                <c:pt idx="41">
                  <c:v>3</c:v>
                </c:pt>
              </c:numCache>
            </c:numRef>
          </c:val>
          <c:extLst>
            <c:ext xmlns:c16="http://schemas.microsoft.com/office/drawing/2014/chart" uri="{C3380CC4-5D6E-409C-BE32-E72D297353CC}">
              <c16:uniqueId val="{00000000-C15A-4227-9EF0-0A12E26F02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Furniture</c:v>
          </c:tx>
          <c:spPr>
            <a:solidFill>
              <a:schemeClr val="accent1"/>
            </a:solidFill>
            <a:ln>
              <a:noFill/>
            </a:ln>
            <a:effectLst/>
          </c:spPr>
          <c:invertIfNegative val="0"/>
          <c:cat>
            <c:strLit>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Lit>
          </c:cat>
          <c:val>
            <c:numLit>
              <c:formatCode>General</c:formatCode>
              <c:ptCount val="39"/>
              <c:pt idx="0">
                <c:v>1</c:v>
              </c:pt>
              <c:pt idx="1">
                <c:v>2</c:v>
              </c:pt>
              <c:pt idx="2">
                <c:v>1</c:v>
              </c:pt>
              <c:pt idx="3">
                <c:v>1</c:v>
              </c:pt>
              <c:pt idx="4">
                <c:v>1</c:v>
              </c:pt>
              <c:pt idx="5">
                <c:v>1</c:v>
              </c:pt>
              <c:pt idx="6">
                <c:v>1</c:v>
              </c:pt>
              <c:pt idx="7">
                <c:v>1</c:v>
              </c:pt>
              <c:pt idx="8">
                <c:v>1</c:v>
              </c:pt>
              <c:pt idx="9">
                <c:v>1</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numLit>
          </c:val>
          <c:extLst>
            <c:ext xmlns:c16="http://schemas.microsoft.com/office/drawing/2014/chart" uri="{C3380CC4-5D6E-409C-BE32-E72D297353CC}">
              <c16:uniqueId val="{00000000-7524-4A7C-B021-B58646559D87}"/>
            </c:ext>
          </c:extLst>
        </c:ser>
        <c:ser>
          <c:idx val="1"/>
          <c:order val="1"/>
          <c:tx>
            <c:v>Office Supplies</c:v>
          </c:tx>
          <c:spPr>
            <a:solidFill>
              <a:schemeClr val="accent2"/>
            </a:solidFill>
            <a:ln>
              <a:noFill/>
            </a:ln>
            <a:effectLst/>
          </c:spPr>
          <c:invertIfNegative val="0"/>
          <c:cat>
            <c:strLit>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Lit>
          </c:cat>
          <c:val>
            <c:numLit>
              <c:formatCode>General</c:formatCode>
              <c:ptCount val="39"/>
              <c:pt idx="0">
                <c:v>0</c:v>
              </c:pt>
              <c:pt idx="1">
                <c:v>0</c:v>
              </c:pt>
              <c:pt idx="2">
                <c:v>0</c:v>
              </c:pt>
              <c:pt idx="3">
                <c:v>0</c:v>
              </c:pt>
              <c:pt idx="4">
                <c:v>0</c:v>
              </c:pt>
              <c:pt idx="5">
                <c:v>0</c:v>
              </c:pt>
              <c:pt idx="6">
                <c:v>0</c:v>
              </c:pt>
              <c:pt idx="7">
                <c:v>0</c:v>
              </c:pt>
              <c:pt idx="8">
                <c:v>0</c:v>
              </c:pt>
              <c:pt idx="9">
                <c:v>0</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0</c:v>
              </c:pt>
              <c:pt idx="27">
                <c:v>0</c:v>
              </c:pt>
              <c:pt idx="28">
                <c:v>0</c:v>
              </c:pt>
              <c:pt idx="29">
                <c:v>0</c:v>
              </c:pt>
              <c:pt idx="30">
                <c:v>0</c:v>
              </c:pt>
              <c:pt idx="31">
                <c:v>0</c:v>
              </c:pt>
              <c:pt idx="32">
                <c:v>0</c:v>
              </c:pt>
              <c:pt idx="33">
                <c:v>0</c:v>
              </c:pt>
              <c:pt idx="34">
                <c:v>0</c:v>
              </c:pt>
              <c:pt idx="35">
                <c:v>0</c:v>
              </c:pt>
              <c:pt idx="36">
                <c:v>0</c:v>
              </c:pt>
              <c:pt idx="37">
                <c:v>0</c:v>
              </c:pt>
              <c:pt idx="38">
                <c:v>0</c:v>
              </c:pt>
            </c:numLit>
          </c:val>
          <c:extLst>
            <c:ext xmlns:c16="http://schemas.microsoft.com/office/drawing/2014/chart" uri="{C3380CC4-5D6E-409C-BE32-E72D297353CC}">
              <c16:uniqueId val="{00000001-7524-4A7C-B021-B58646559D87}"/>
            </c:ext>
          </c:extLst>
        </c:ser>
        <c:ser>
          <c:idx val="2"/>
          <c:order val="2"/>
          <c:tx>
            <c:v>Technology</c:v>
          </c:tx>
          <c:spPr>
            <a:solidFill>
              <a:schemeClr val="accent3"/>
            </a:solidFill>
            <a:ln>
              <a:noFill/>
            </a:ln>
            <a:effectLst/>
          </c:spPr>
          <c:invertIfNegative val="0"/>
          <c:cat>
            <c:strLit>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Lit>
          </c:cat>
          <c:val>
            <c:numLit>
              <c:formatCode>General</c:formatCode>
              <c:ptCount val="3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c:v>
              </c:pt>
              <c:pt idx="27">
                <c:v>1</c:v>
              </c:pt>
              <c:pt idx="28">
                <c:v>1</c:v>
              </c:pt>
              <c:pt idx="29">
                <c:v>1</c:v>
              </c:pt>
              <c:pt idx="30">
                <c:v>1</c:v>
              </c:pt>
              <c:pt idx="31">
                <c:v>1</c:v>
              </c:pt>
              <c:pt idx="32">
                <c:v>1</c:v>
              </c:pt>
              <c:pt idx="33">
                <c:v>1</c:v>
              </c:pt>
              <c:pt idx="34">
                <c:v>1</c:v>
              </c:pt>
              <c:pt idx="35">
                <c:v>1</c:v>
              </c:pt>
              <c:pt idx="36">
                <c:v>1</c:v>
              </c:pt>
              <c:pt idx="37">
                <c:v>1</c:v>
              </c:pt>
              <c:pt idx="38">
                <c:v>1</c:v>
              </c:pt>
            </c:numLit>
          </c:val>
          <c:extLst>
            <c:ext xmlns:c16="http://schemas.microsoft.com/office/drawing/2014/chart" uri="{C3380CC4-5D6E-409C-BE32-E72D297353CC}">
              <c16:uniqueId val="{00000002-7524-4A7C-B021-B58646559D87}"/>
            </c:ext>
          </c:extLst>
        </c:ser>
        <c:dLbls>
          <c:showLegendKey val="0"/>
          <c:showVal val="0"/>
          <c:showCatName val="0"/>
          <c:showSerName val="0"/>
          <c:showPercent val="0"/>
          <c:showBubbleSize val="0"/>
        </c:dLbls>
        <c:gapWidth val="182"/>
        <c:axId val="526736640"/>
        <c:axId val="526730400"/>
      </c:barChart>
      <c:catAx>
        <c:axId val="52673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30400"/>
        <c:crosses val="autoZero"/>
        <c:auto val="1"/>
        <c:lblAlgn val="ctr"/>
        <c:lblOffset val="100"/>
        <c:noMultiLvlLbl val="0"/>
      </c:catAx>
      <c:valAx>
        <c:axId val="526730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3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[sample.xlsx]PROD_TABLE!PivotTable10</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PROD_TABLE!$N$23:$N$24</c:f>
              <c:strCache>
                <c:ptCount val="1"/>
                <c:pt idx="0">
                  <c:v>Furniture</c:v>
                </c:pt>
              </c:strCache>
            </c:strRef>
          </c:tx>
          <c:spPr>
            <a:solidFill>
              <a:schemeClr val="accent1"/>
            </a:solidFill>
            <a:ln>
              <a:noFill/>
            </a:ln>
            <a:effectLst/>
          </c:spPr>
          <c:invertIfNegative val="0"/>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PROD_TABLE!$N$25:$N$64</c:f>
              <c:numCache>
                <c:formatCode>General</c:formatCode>
                <c:ptCount val="39"/>
                <c:pt idx="0">
                  <c:v>1</c:v>
                </c:pt>
                <c:pt idx="1">
                  <c:v>2</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10E7-4D19-B0A2-9D186DCF483E}"/>
            </c:ext>
          </c:extLst>
        </c:ser>
        <c:ser>
          <c:idx val="1"/>
          <c:order val="1"/>
          <c:tx>
            <c:strRef>
              <c:f>PROD_TABLE!$O$23:$O$24</c:f>
              <c:strCache>
                <c:ptCount val="1"/>
                <c:pt idx="0">
                  <c:v>Office Supplies</c:v>
                </c:pt>
              </c:strCache>
            </c:strRef>
          </c:tx>
          <c:spPr>
            <a:solidFill>
              <a:schemeClr val="accent2"/>
            </a:solidFill>
            <a:ln>
              <a:noFill/>
            </a:ln>
            <a:effectLst/>
          </c:spPr>
          <c:invertIfNegative val="0"/>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PROD_TABLE!$O$25:$O$64</c:f>
              <c:numCache>
                <c:formatCode>General</c:formatCode>
                <c:ptCount val="39"/>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extLst>
            <c:ext xmlns:c16="http://schemas.microsoft.com/office/drawing/2014/chart" uri="{C3380CC4-5D6E-409C-BE32-E72D297353CC}">
              <c16:uniqueId val="{00000004-10E7-4D19-B0A2-9D186DCF483E}"/>
            </c:ext>
          </c:extLst>
        </c:ser>
        <c:ser>
          <c:idx val="2"/>
          <c:order val="2"/>
          <c:tx>
            <c:strRef>
              <c:f>PROD_TABLE!$P$23:$P$24</c:f>
              <c:strCache>
                <c:ptCount val="1"/>
                <c:pt idx="0">
                  <c:v>Technology</c:v>
                </c:pt>
              </c:strCache>
            </c:strRef>
          </c:tx>
          <c:spPr>
            <a:solidFill>
              <a:schemeClr val="accent3"/>
            </a:solidFill>
            <a:ln>
              <a:noFill/>
            </a:ln>
            <a:effectLst/>
          </c:spPr>
          <c:invertIfNegative val="0"/>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PROD_TABLE!$P$25:$P$64</c:f>
              <c:numCache>
                <c:formatCode>General</c:formatCode>
                <c:ptCount val="39"/>
                <c:pt idx="26">
                  <c:v>1</c:v>
                </c:pt>
                <c:pt idx="27">
                  <c:v>1</c:v>
                </c:pt>
                <c:pt idx="28">
                  <c:v>1</c:v>
                </c:pt>
                <c:pt idx="29">
                  <c:v>1</c:v>
                </c:pt>
                <c:pt idx="30">
                  <c:v>1</c:v>
                </c:pt>
                <c:pt idx="31">
                  <c:v>1</c:v>
                </c:pt>
                <c:pt idx="32">
                  <c:v>1</c:v>
                </c:pt>
                <c:pt idx="33">
                  <c:v>1</c:v>
                </c:pt>
                <c:pt idx="34">
                  <c:v>1</c:v>
                </c:pt>
                <c:pt idx="35">
                  <c:v>1</c:v>
                </c:pt>
                <c:pt idx="36">
                  <c:v>1</c:v>
                </c:pt>
                <c:pt idx="37">
                  <c:v>1</c:v>
                </c:pt>
                <c:pt idx="38">
                  <c:v>1</c:v>
                </c:pt>
              </c:numCache>
            </c:numRef>
          </c:val>
          <c:extLst>
            <c:ext xmlns:c16="http://schemas.microsoft.com/office/drawing/2014/chart" uri="{C3380CC4-5D6E-409C-BE32-E72D297353CC}">
              <c16:uniqueId val="{00000005-10E7-4D19-B0A2-9D186DCF483E}"/>
            </c:ext>
          </c:extLst>
        </c:ser>
        <c:dLbls>
          <c:showLegendKey val="0"/>
          <c:showVal val="0"/>
          <c:showCatName val="0"/>
          <c:showSerName val="0"/>
          <c:showPercent val="0"/>
          <c:showBubbleSize val="0"/>
        </c:dLbls>
        <c:gapWidth val="219"/>
        <c:overlap val="-27"/>
        <c:axId val="2055880592"/>
        <c:axId val="2055878192"/>
      </c:barChart>
      <c:catAx>
        <c:axId val="2055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78192"/>
        <c:crosses val="autoZero"/>
        <c:auto val="1"/>
        <c:lblAlgn val="ctr"/>
        <c:lblOffset val="100"/>
        <c:noMultiLvlLbl val="0"/>
      </c:catAx>
      <c:valAx>
        <c:axId val="205587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8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[sample.xlsx]PROD_TABLE!PivotTable10</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PROD_TABLE!$N$23:$N$24</c:f>
              <c:strCache>
                <c:ptCount val="1"/>
                <c:pt idx="0">
                  <c:v>Furniture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PROD_TABLE!$N$25:$N$64</c:f>
              <c:numCache>
                <c:formatCode>General</c:formatCode>
                <c:ptCount val="39"/>
                <c:pt idx="0">
                  <c:v>1</c:v>
                </c:pt>
                <c:pt idx="1">
                  <c:v>2</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0533-406A-9B9E-3A4517ED88EA}"/>
            </c:ext>
          </c:extLst>
        </c:ser>
        <c:ser>
          <c:idx val="1"/>
          <c:order val="1"/>
          <c:tx>
            <c:strRef>
              <c:f>PROD_TABLE!$O$23:$O$24</c:f>
              <c:strCache>
                <c:ptCount val="1"/>
                <c:pt idx="0">
                  <c:v>Office Supplies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PROD_TABLE!$O$25:$O$64</c:f>
              <c:numCache>
                <c:formatCode>General</c:formatCode>
                <c:ptCount val="39"/>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extLst>
            <c:ext xmlns:c16="http://schemas.microsoft.com/office/drawing/2014/chart" uri="{C3380CC4-5D6E-409C-BE32-E72D297353CC}">
              <c16:uniqueId val="{00000004-0533-406A-9B9E-3A4517ED88EA}"/>
            </c:ext>
          </c:extLst>
        </c:ser>
        <c:ser>
          <c:idx val="2"/>
          <c:order val="2"/>
          <c:tx>
            <c:strRef>
              <c:f>PROD_TABLE!$P$23:$P$24</c:f>
              <c:strCache>
                <c:ptCount val="1"/>
                <c:pt idx="0">
                  <c:v>Technology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PROD_TABLE!$P$25:$P$64</c:f>
              <c:numCache>
                <c:formatCode>General</c:formatCode>
                <c:ptCount val="39"/>
                <c:pt idx="26">
                  <c:v>1</c:v>
                </c:pt>
                <c:pt idx="27">
                  <c:v>1</c:v>
                </c:pt>
                <c:pt idx="28">
                  <c:v>1</c:v>
                </c:pt>
                <c:pt idx="29">
                  <c:v>1</c:v>
                </c:pt>
                <c:pt idx="30">
                  <c:v>1</c:v>
                </c:pt>
                <c:pt idx="31">
                  <c:v>1</c:v>
                </c:pt>
                <c:pt idx="32">
                  <c:v>1</c:v>
                </c:pt>
                <c:pt idx="33">
                  <c:v>1</c:v>
                </c:pt>
                <c:pt idx="34">
                  <c:v>1</c:v>
                </c:pt>
                <c:pt idx="35">
                  <c:v>1</c:v>
                </c:pt>
                <c:pt idx="36">
                  <c:v>1</c:v>
                </c:pt>
                <c:pt idx="37">
                  <c:v>1</c:v>
                </c:pt>
                <c:pt idx="38">
                  <c:v>1</c:v>
                </c:pt>
              </c:numCache>
            </c:numRef>
          </c:val>
          <c:extLst>
            <c:ext xmlns:c16="http://schemas.microsoft.com/office/drawing/2014/chart" uri="{C3380CC4-5D6E-409C-BE32-E72D297353CC}">
              <c16:uniqueId val="{00000005-0533-406A-9B9E-3A4517ED88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[sample.xlsx]PROD_TABLE!PivotTable10</c:name>
    <c:fmtId val="2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PROD_TABLE!$N$23:$N$24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PROD_TABLE!$N$25:$N$64</c:f>
              <c:numCache>
                <c:formatCode>General</c:formatCode>
                <c:ptCount val="39"/>
                <c:pt idx="0">
                  <c:v>1</c:v>
                </c:pt>
                <c:pt idx="1">
                  <c:v>2</c:v>
                </c:pt>
                <c:pt idx="2">
                  <c:v>1</c:v>
                </c:pt>
                <c:pt idx="3">
                  <c:v>1</c:v>
                </c:pt>
                <c:pt idx="4">
                  <c:v>1</c:v>
                </c:pt>
                <c:pt idx="5">
                  <c:v>1</c:v>
                </c:pt>
                <c:pt idx="6">
                  <c:v>1</c:v>
                </c:pt>
                <c:pt idx="7">
                  <c:v>1</c:v>
                </c:pt>
                <c:pt idx="8">
                  <c:v>1</c:v>
                </c:pt>
                <c:pt idx="9">
                  <c:v>1</c:v>
                </c:pt>
              </c:numCache>
            </c:numRef>
          </c:val>
          <c:smooth val="0"/>
          <c:extLst>
            <c:ext xmlns:c16="http://schemas.microsoft.com/office/drawing/2014/chart" uri="{C3380CC4-5D6E-409C-BE32-E72D297353CC}">
              <c16:uniqueId val="{00000000-096E-463C-B585-49DDC2CFA320}"/>
            </c:ext>
          </c:extLst>
        </c:ser>
        <c:ser>
          <c:idx val="1"/>
          <c:order val="1"/>
          <c:tx>
            <c:strRef>
              <c:f>PROD_TABLE!$O$23:$O$24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PROD_TABLE!$O$25:$O$64</c:f>
              <c:numCache>
                <c:formatCode>General</c:formatCode>
                <c:ptCount val="39"/>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smooth val="0"/>
          <c:extLst>
            <c:ext xmlns:c16="http://schemas.microsoft.com/office/drawing/2014/chart" uri="{C3380CC4-5D6E-409C-BE32-E72D297353CC}">
              <c16:uniqueId val="{00000004-096E-463C-B585-49DDC2CFA320}"/>
            </c:ext>
          </c:extLst>
        </c:ser>
        <c:ser>
          <c:idx val="2"/>
          <c:order val="2"/>
          <c:tx>
            <c:strRef>
              <c:f>PROD_TABLE!$P$23:$P$24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PROD_TABLE!$M$25:$M$64</c:f>
              <c:strCache>
                <c:ptCount val="39"/>
                <c:pt idx="0">
                  <c:v>FUR-BO-10002545</c:v>
                </c:pt>
                <c:pt idx="1">
                  <c:v>FUR-BO-10004709</c:v>
                </c:pt>
                <c:pt idx="2">
                  <c:v>FUR-FU-10000010</c:v>
                </c:pt>
                <c:pt idx="3">
                  <c:v>FUR-FU-10000076</c:v>
                </c:pt>
                <c:pt idx="4">
                  <c:v>FUR-FU-10002268</c:v>
                </c:pt>
                <c:pt idx="5">
                  <c:v>FUR-FU-10002445</c:v>
                </c:pt>
                <c:pt idx="6">
                  <c:v>FUR-FU-10003374</c:v>
                </c:pt>
                <c:pt idx="7">
                  <c:v>FUR-FU-10004270</c:v>
                </c:pt>
                <c:pt idx="8">
                  <c:v>FUR-TA-10000617</c:v>
                </c:pt>
                <c:pt idx="9">
                  <c:v>FUR-TA-10002903</c:v>
                </c:pt>
                <c:pt idx="10">
                  <c:v>OFF-AR-10001573</c:v>
                </c:pt>
                <c:pt idx="11">
                  <c:v>OFF-AR-10001955</c:v>
                </c:pt>
                <c:pt idx="12">
                  <c:v>OFF-AR-10003696</c:v>
                </c:pt>
                <c:pt idx="13">
                  <c:v>OFF-AR-10003958</c:v>
                </c:pt>
                <c:pt idx="14">
                  <c:v>OFF-AR-10004078</c:v>
                </c:pt>
                <c:pt idx="15">
                  <c:v>OFF-BI-10001460</c:v>
                </c:pt>
                <c:pt idx="16">
                  <c:v>OFF-BI-10002026</c:v>
                </c:pt>
                <c:pt idx="17">
                  <c:v>OFF-BI-10004236</c:v>
                </c:pt>
                <c:pt idx="18">
                  <c:v>OFF-BI-10004364</c:v>
                </c:pt>
                <c:pt idx="19">
                  <c:v>OFF-EN-10001137</c:v>
                </c:pt>
                <c:pt idx="20">
                  <c:v>OFF-EN-10003040</c:v>
                </c:pt>
                <c:pt idx="21">
                  <c:v>OFF-PA-10001166</c:v>
                </c:pt>
                <c:pt idx="22">
                  <c:v>OFF-PA-10003656</c:v>
                </c:pt>
                <c:pt idx="23">
                  <c:v>OFF-PA-10004039</c:v>
                </c:pt>
                <c:pt idx="24">
                  <c:v>OFF-PA-10004621</c:v>
                </c:pt>
                <c:pt idx="25">
                  <c:v>OFF-ST-10003692</c:v>
                </c:pt>
                <c:pt idx="26">
                  <c:v>TEC-AC-10000420</c:v>
                </c:pt>
                <c:pt idx="27">
                  <c:v>TEC-AC-10000844</c:v>
                </c:pt>
                <c:pt idx="28">
                  <c:v>TEC-AC-10001714</c:v>
                </c:pt>
                <c:pt idx="29">
                  <c:v>TEC-AC-10002217</c:v>
                </c:pt>
                <c:pt idx="30">
                  <c:v>TEC-AC-10002335</c:v>
                </c:pt>
                <c:pt idx="31">
                  <c:v>TEC-AC-10002942</c:v>
                </c:pt>
                <c:pt idx="32">
                  <c:v>TEC-CO-10000971</c:v>
                </c:pt>
                <c:pt idx="33">
                  <c:v>TEC-PH-10000148</c:v>
                </c:pt>
                <c:pt idx="34">
                  <c:v>TEC-PH-10000455</c:v>
                </c:pt>
                <c:pt idx="35">
                  <c:v>TEC-PH-10002726</c:v>
                </c:pt>
                <c:pt idx="36">
                  <c:v>TEC-PH-10002890</c:v>
                </c:pt>
                <c:pt idx="37">
                  <c:v>TEC-PH-10002923</c:v>
                </c:pt>
                <c:pt idx="38">
                  <c:v>TEC-PH-10004080</c:v>
                </c:pt>
              </c:strCache>
            </c:strRef>
          </c:cat>
          <c:val>
            <c:numRef>
              <c:f>PROD_TABLE!$P$25:$P$64</c:f>
              <c:numCache>
                <c:formatCode>General</c:formatCode>
                <c:ptCount val="39"/>
                <c:pt idx="26">
                  <c:v>1</c:v>
                </c:pt>
                <c:pt idx="27">
                  <c:v>1</c:v>
                </c:pt>
                <c:pt idx="28">
                  <c:v>1</c:v>
                </c:pt>
                <c:pt idx="29">
                  <c:v>1</c:v>
                </c:pt>
                <c:pt idx="30">
                  <c:v>1</c:v>
                </c:pt>
                <c:pt idx="31">
                  <c:v>1</c:v>
                </c:pt>
                <c:pt idx="32">
                  <c:v>1</c:v>
                </c:pt>
                <c:pt idx="33">
                  <c:v>1</c:v>
                </c:pt>
                <c:pt idx="34">
                  <c:v>1</c:v>
                </c:pt>
                <c:pt idx="35">
                  <c:v>1</c:v>
                </c:pt>
                <c:pt idx="36">
                  <c:v>1</c:v>
                </c:pt>
                <c:pt idx="37">
                  <c:v>1</c:v>
                </c:pt>
                <c:pt idx="38">
                  <c:v>1</c:v>
                </c:pt>
              </c:numCache>
            </c:numRef>
          </c:val>
          <c:smooth val="0"/>
          <c:extLst>
            <c:ext xmlns:c16="http://schemas.microsoft.com/office/drawing/2014/chart" uri="{C3380CC4-5D6E-409C-BE32-E72D297353CC}">
              <c16:uniqueId val="{00000005-096E-463C-B585-49DDC2CFA320}"/>
            </c:ext>
          </c:extLst>
        </c:ser>
        <c:dLbls>
          <c:showLegendKey val="0"/>
          <c:showVal val="0"/>
          <c:showCatName val="0"/>
          <c:showSerName val="0"/>
          <c:showPercent val="0"/>
          <c:showBubbleSize val="0"/>
        </c:dLbls>
        <c:marker val="1"/>
        <c:smooth val="0"/>
        <c:axId val="523906992"/>
        <c:axId val="523918032"/>
      </c:lineChart>
      <c:catAx>
        <c:axId val="5239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18032"/>
        <c:crosses val="autoZero"/>
        <c:auto val="1"/>
        <c:lblAlgn val="ctr"/>
        <c:lblOffset val="100"/>
        <c:noMultiLvlLbl val="0"/>
      </c:catAx>
      <c:valAx>
        <c:axId val="52391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90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[sample.xlsx]ORDER_TABLE!PivotTable12</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ORDER_TABLE!$AF$5</c:f>
              <c:strCache>
                <c:ptCount val="1"/>
                <c:pt idx="0">
                  <c:v>Sum of Sales</c:v>
                </c:pt>
              </c:strCache>
            </c:strRef>
          </c:tx>
          <c:spPr>
            <a:solidFill>
              <a:schemeClr val="accent1"/>
            </a:solidFill>
            <a:ln>
              <a:noFill/>
            </a:ln>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ORDER_TABLE!$AF$6:$AF$18</c:f>
              <c:numCache>
                <c:formatCode>General</c:formatCode>
                <c:ptCount val="12"/>
                <c:pt idx="0">
                  <c:v>405.34399999999999</c:v>
                </c:pt>
                <c:pt idx="1">
                  <c:v>510.28700000000003</c:v>
                </c:pt>
                <c:pt idx="2">
                  <c:v>73.94</c:v>
                </c:pt>
                <c:pt idx="3">
                  <c:v>405.91999999999996</c:v>
                </c:pt>
                <c:pt idx="4">
                  <c:v>2095.83</c:v>
                </c:pt>
                <c:pt idx="5">
                  <c:v>1069.22</c:v>
                </c:pt>
                <c:pt idx="6">
                  <c:v>255.904</c:v>
                </c:pt>
                <c:pt idx="7">
                  <c:v>83.575999999999993</c:v>
                </c:pt>
                <c:pt idx="8">
                  <c:v>1859.1580000000001</c:v>
                </c:pt>
                <c:pt idx="9">
                  <c:v>743.04599999999994</c:v>
                </c:pt>
                <c:pt idx="10">
                  <c:v>174.75</c:v>
                </c:pt>
                <c:pt idx="11">
                  <c:v>149.44399999999999</c:v>
                </c:pt>
              </c:numCache>
            </c:numRef>
          </c:val>
          <c:extLst>
            <c:ext xmlns:c16="http://schemas.microsoft.com/office/drawing/2014/chart" uri="{C3380CC4-5D6E-409C-BE32-E72D297353CC}">
              <c16:uniqueId val="{00000000-79FD-4B9D-B267-90E2937400DA}"/>
            </c:ext>
          </c:extLst>
        </c:ser>
        <c:ser>
          <c:idx val="1"/>
          <c:order val="1"/>
          <c:tx>
            <c:strRef>
              <c:f>ORDER_TABLE!$AG$5</c:f>
              <c:strCache>
                <c:ptCount val="1"/>
                <c:pt idx="0">
                  <c:v>Sum of Quantity</c:v>
                </c:pt>
              </c:strCache>
            </c:strRef>
          </c:tx>
          <c:spPr>
            <a:solidFill>
              <a:schemeClr val="accent2"/>
            </a:solidFill>
            <a:ln>
              <a:noFill/>
            </a:ln>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ORDER_TABLE!$AG$6:$AG$18</c:f>
              <c:numCache>
                <c:formatCode>General</c:formatCode>
                <c:ptCount val="12"/>
                <c:pt idx="0">
                  <c:v>10</c:v>
                </c:pt>
                <c:pt idx="1">
                  <c:v>12</c:v>
                </c:pt>
                <c:pt idx="2">
                  <c:v>1</c:v>
                </c:pt>
                <c:pt idx="3">
                  <c:v>5</c:v>
                </c:pt>
                <c:pt idx="4">
                  <c:v>21</c:v>
                </c:pt>
                <c:pt idx="5">
                  <c:v>11</c:v>
                </c:pt>
                <c:pt idx="6">
                  <c:v>10</c:v>
                </c:pt>
                <c:pt idx="7">
                  <c:v>9</c:v>
                </c:pt>
                <c:pt idx="8">
                  <c:v>25</c:v>
                </c:pt>
                <c:pt idx="9">
                  <c:v>16</c:v>
                </c:pt>
                <c:pt idx="10">
                  <c:v>11</c:v>
                </c:pt>
                <c:pt idx="11">
                  <c:v>22</c:v>
                </c:pt>
              </c:numCache>
            </c:numRef>
          </c:val>
          <c:extLst>
            <c:ext xmlns:c16="http://schemas.microsoft.com/office/drawing/2014/chart" uri="{C3380CC4-5D6E-409C-BE32-E72D297353CC}">
              <c16:uniqueId val="{00000001-79FD-4B9D-B267-90E2937400DA}"/>
            </c:ext>
          </c:extLst>
        </c:ser>
        <c:ser>
          <c:idx val="2"/>
          <c:order val="2"/>
          <c:tx>
            <c:strRef>
              <c:f>ORDER_TABLE!$AH$5</c:f>
              <c:strCache>
                <c:ptCount val="1"/>
                <c:pt idx="0">
                  <c:v>Sum of Profit</c:v>
                </c:pt>
              </c:strCache>
            </c:strRef>
          </c:tx>
          <c:spPr>
            <a:solidFill>
              <a:schemeClr val="accent3"/>
            </a:solidFill>
            <a:ln>
              <a:noFill/>
            </a:ln>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ORDER_TABLE!$AH$6:$AH$18</c:f>
              <c:numCache>
                <c:formatCode>General</c:formatCode>
                <c:ptCount val="12"/>
                <c:pt idx="0">
                  <c:v>64.046000000000006</c:v>
                </c:pt>
                <c:pt idx="1">
                  <c:v>109.75699999999999</c:v>
                </c:pt>
                <c:pt idx="2">
                  <c:v>28.2668</c:v>
                </c:pt>
                <c:pt idx="3">
                  <c:v>105.541</c:v>
                </c:pt>
                <c:pt idx="4">
                  <c:v>386.48600000000005</c:v>
                </c:pt>
                <c:pt idx="5">
                  <c:v>40.402000000000001</c:v>
                </c:pt>
                <c:pt idx="6">
                  <c:v>46.456800000000008</c:v>
                </c:pt>
                <c:pt idx="7">
                  <c:v>8.1390999999999991</c:v>
                </c:pt>
                <c:pt idx="8">
                  <c:v>449.14030000000002</c:v>
                </c:pt>
                <c:pt idx="9">
                  <c:v>264.49799999999999</c:v>
                </c:pt>
                <c:pt idx="10">
                  <c:v>55.365299999999998</c:v>
                </c:pt>
                <c:pt idx="11">
                  <c:v>25.083399999999997</c:v>
                </c:pt>
              </c:numCache>
            </c:numRef>
          </c:val>
          <c:extLst>
            <c:ext xmlns:c16="http://schemas.microsoft.com/office/drawing/2014/chart" uri="{C3380CC4-5D6E-409C-BE32-E72D297353CC}">
              <c16:uniqueId val="{00000002-79FD-4B9D-B267-90E2937400DA}"/>
            </c:ext>
          </c:extLst>
        </c:ser>
        <c:dLbls>
          <c:showLegendKey val="0"/>
          <c:showVal val="0"/>
          <c:showCatName val="0"/>
          <c:showSerName val="0"/>
          <c:showPercent val="0"/>
          <c:showBubbleSize val="0"/>
        </c:dLbls>
        <c:gapWidth val="219"/>
        <c:overlap val="-27"/>
        <c:axId val="92502159"/>
        <c:axId val="92500719"/>
      </c:barChart>
      <c:catAx>
        <c:axId val="9250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0719"/>
        <c:crosses val="autoZero"/>
        <c:auto val="1"/>
        <c:lblAlgn val="ctr"/>
        <c:lblOffset val="100"/>
        <c:noMultiLvlLbl val="0"/>
      </c:catAx>
      <c:valAx>
        <c:axId val="9250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[sample.xlsx]ORDER_TABLE!PivotTable12</c:name>
    <c:fmtId val="3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ORDER_TABLE!$AF$5</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ORDER_TABLE!$AF$6:$AF$18</c:f>
              <c:numCache>
                <c:formatCode>General</c:formatCode>
                <c:ptCount val="12"/>
                <c:pt idx="0">
                  <c:v>405.34399999999999</c:v>
                </c:pt>
                <c:pt idx="1">
                  <c:v>510.28700000000003</c:v>
                </c:pt>
                <c:pt idx="2">
                  <c:v>73.94</c:v>
                </c:pt>
                <c:pt idx="3">
                  <c:v>405.91999999999996</c:v>
                </c:pt>
                <c:pt idx="4">
                  <c:v>2095.83</c:v>
                </c:pt>
                <c:pt idx="5">
                  <c:v>1069.22</c:v>
                </c:pt>
                <c:pt idx="6">
                  <c:v>255.904</c:v>
                </c:pt>
                <c:pt idx="7">
                  <c:v>83.575999999999993</c:v>
                </c:pt>
                <c:pt idx="8">
                  <c:v>1859.1580000000001</c:v>
                </c:pt>
                <c:pt idx="9">
                  <c:v>743.04599999999994</c:v>
                </c:pt>
                <c:pt idx="10">
                  <c:v>174.75</c:v>
                </c:pt>
                <c:pt idx="11">
                  <c:v>149.44399999999999</c:v>
                </c:pt>
              </c:numCache>
            </c:numRef>
          </c:val>
          <c:extLst>
            <c:ext xmlns:c16="http://schemas.microsoft.com/office/drawing/2014/chart" uri="{C3380CC4-5D6E-409C-BE32-E72D297353CC}">
              <c16:uniqueId val="{00000000-BF73-43CC-B684-0D40DA3A4EE9}"/>
            </c:ext>
          </c:extLst>
        </c:ser>
        <c:ser>
          <c:idx val="1"/>
          <c:order val="1"/>
          <c:tx>
            <c:strRef>
              <c:f>ORDER_TABLE!$AG$5</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ORDER_TABLE!$AG$6:$AG$18</c:f>
              <c:numCache>
                <c:formatCode>General</c:formatCode>
                <c:ptCount val="12"/>
                <c:pt idx="0">
                  <c:v>10</c:v>
                </c:pt>
                <c:pt idx="1">
                  <c:v>12</c:v>
                </c:pt>
                <c:pt idx="2">
                  <c:v>1</c:v>
                </c:pt>
                <c:pt idx="3">
                  <c:v>5</c:v>
                </c:pt>
                <c:pt idx="4">
                  <c:v>21</c:v>
                </c:pt>
                <c:pt idx="5">
                  <c:v>11</c:v>
                </c:pt>
                <c:pt idx="6">
                  <c:v>10</c:v>
                </c:pt>
                <c:pt idx="7">
                  <c:v>9</c:v>
                </c:pt>
                <c:pt idx="8">
                  <c:v>25</c:v>
                </c:pt>
                <c:pt idx="9">
                  <c:v>16</c:v>
                </c:pt>
                <c:pt idx="10">
                  <c:v>11</c:v>
                </c:pt>
                <c:pt idx="11">
                  <c:v>22</c:v>
                </c:pt>
              </c:numCache>
            </c:numRef>
          </c:val>
          <c:extLst>
            <c:ext xmlns:c16="http://schemas.microsoft.com/office/drawing/2014/chart" uri="{C3380CC4-5D6E-409C-BE32-E72D297353CC}">
              <c16:uniqueId val="{00000001-BF73-43CC-B684-0D40DA3A4EE9}"/>
            </c:ext>
          </c:extLst>
        </c:ser>
        <c:ser>
          <c:idx val="2"/>
          <c:order val="2"/>
          <c:tx>
            <c:strRef>
              <c:f>ORDER_TABLE!$AH$5</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ORDER_TABLE!$AH$6:$AH$18</c:f>
              <c:numCache>
                <c:formatCode>General</c:formatCode>
                <c:ptCount val="12"/>
                <c:pt idx="0">
                  <c:v>64.046000000000006</c:v>
                </c:pt>
                <c:pt idx="1">
                  <c:v>109.75699999999999</c:v>
                </c:pt>
                <c:pt idx="2">
                  <c:v>28.2668</c:v>
                </c:pt>
                <c:pt idx="3">
                  <c:v>105.541</c:v>
                </c:pt>
                <c:pt idx="4">
                  <c:v>386.48600000000005</c:v>
                </c:pt>
                <c:pt idx="5">
                  <c:v>40.402000000000001</c:v>
                </c:pt>
                <c:pt idx="6">
                  <c:v>46.456800000000008</c:v>
                </c:pt>
                <c:pt idx="7">
                  <c:v>8.1390999999999991</c:v>
                </c:pt>
                <c:pt idx="8">
                  <c:v>449.14030000000002</c:v>
                </c:pt>
                <c:pt idx="9">
                  <c:v>264.49799999999999</c:v>
                </c:pt>
                <c:pt idx="10">
                  <c:v>55.365299999999998</c:v>
                </c:pt>
                <c:pt idx="11">
                  <c:v>25.083399999999997</c:v>
                </c:pt>
              </c:numCache>
            </c:numRef>
          </c:val>
          <c:extLst>
            <c:ext xmlns:c16="http://schemas.microsoft.com/office/drawing/2014/chart" uri="{C3380CC4-5D6E-409C-BE32-E72D297353CC}">
              <c16:uniqueId val="{00000002-BF73-43CC-B684-0D40DA3A4EE9}"/>
            </c:ext>
          </c:extLst>
        </c:ser>
        <c:dLbls>
          <c:showLegendKey val="0"/>
          <c:showVal val="0"/>
          <c:showCatName val="0"/>
          <c:showSerName val="0"/>
          <c:showPercent val="0"/>
          <c:showBubbleSize val="0"/>
        </c:dLbls>
        <c:gapWidth val="115"/>
        <c:overlap val="-20"/>
        <c:axId val="161085359"/>
        <c:axId val="161069039"/>
      </c:barChart>
      <c:catAx>
        <c:axId val="1610853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9039"/>
        <c:crosses val="autoZero"/>
        <c:auto val="1"/>
        <c:lblAlgn val="ctr"/>
        <c:lblOffset val="100"/>
        <c:noMultiLvlLbl val="0"/>
      </c:catAx>
      <c:valAx>
        <c:axId val="161069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8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[sample.xlsx]ORDER_TABLE!PivotTable12</c:name>
    <c:fmtId val="4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ORDER_TABLE!$AF$5</c:f>
              <c:strCache>
                <c:ptCount val="1"/>
                <c:pt idx="0">
                  <c:v>Sum of Sales</c:v>
                </c:pt>
              </c:strCache>
            </c:strRef>
          </c:tx>
          <c:spPr>
            <a:ln w="28575" cap="rnd">
              <a:solidFill>
                <a:schemeClr val="accent1"/>
              </a:solidFill>
              <a:round/>
            </a:ln>
            <a:effectLst/>
          </c:spPr>
          <c:marker>
            <c:symbol val="none"/>
          </c:marker>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ORDER_TABLE!$AF$6:$AF$18</c:f>
              <c:numCache>
                <c:formatCode>General</c:formatCode>
                <c:ptCount val="12"/>
                <c:pt idx="0">
                  <c:v>405.34399999999999</c:v>
                </c:pt>
                <c:pt idx="1">
                  <c:v>510.28700000000003</c:v>
                </c:pt>
                <c:pt idx="2">
                  <c:v>73.94</c:v>
                </c:pt>
                <c:pt idx="3">
                  <c:v>405.91999999999996</c:v>
                </c:pt>
                <c:pt idx="4">
                  <c:v>2095.83</c:v>
                </c:pt>
                <c:pt idx="5">
                  <c:v>1069.22</c:v>
                </c:pt>
                <c:pt idx="6">
                  <c:v>255.904</c:v>
                </c:pt>
                <c:pt idx="7">
                  <c:v>83.575999999999993</c:v>
                </c:pt>
                <c:pt idx="8">
                  <c:v>1859.1580000000001</c:v>
                </c:pt>
                <c:pt idx="9">
                  <c:v>743.04599999999994</c:v>
                </c:pt>
                <c:pt idx="10">
                  <c:v>174.75</c:v>
                </c:pt>
                <c:pt idx="11">
                  <c:v>149.44399999999999</c:v>
                </c:pt>
              </c:numCache>
            </c:numRef>
          </c:val>
          <c:smooth val="0"/>
          <c:extLst>
            <c:ext xmlns:c16="http://schemas.microsoft.com/office/drawing/2014/chart" uri="{C3380CC4-5D6E-409C-BE32-E72D297353CC}">
              <c16:uniqueId val="{00000000-1A50-4EEB-AD1E-EA0532A75B4A}"/>
            </c:ext>
          </c:extLst>
        </c:ser>
        <c:ser>
          <c:idx val="1"/>
          <c:order val="1"/>
          <c:tx>
            <c:strRef>
              <c:f>ORDER_TABLE!$AG$5</c:f>
              <c:strCache>
                <c:ptCount val="1"/>
                <c:pt idx="0">
                  <c:v>Sum of Quantity</c:v>
                </c:pt>
              </c:strCache>
            </c:strRef>
          </c:tx>
          <c:spPr>
            <a:ln w="28575" cap="rnd">
              <a:solidFill>
                <a:schemeClr val="accent2"/>
              </a:solidFill>
              <a:round/>
            </a:ln>
            <a:effectLst/>
          </c:spPr>
          <c:marker>
            <c:symbol val="none"/>
          </c:marker>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ORDER_TABLE!$AG$6:$AG$18</c:f>
              <c:numCache>
                <c:formatCode>General</c:formatCode>
                <c:ptCount val="12"/>
                <c:pt idx="0">
                  <c:v>10</c:v>
                </c:pt>
                <c:pt idx="1">
                  <c:v>12</c:v>
                </c:pt>
                <c:pt idx="2">
                  <c:v>1</c:v>
                </c:pt>
                <c:pt idx="3">
                  <c:v>5</c:v>
                </c:pt>
                <c:pt idx="4">
                  <c:v>21</c:v>
                </c:pt>
                <c:pt idx="5">
                  <c:v>11</c:v>
                </c:pt>
                <c:pt idx="6">
                  <c:v>10</c:v>
                </c:pt>
                <c:pt idx="7">
                  <c:v>9</c:v>
                </c:pt>
                <c:pt idx="8">
                  <c:v>25</c:v>
                </c:pt>
                <c:pt idx="9">
                  <c:v>16</c:v>
                </c:pt>
                <c:pt idx="10">
                  <c:v>11</c:v>
                </c:pt>
                <c:pt idx="11">
                  <c:v>22</c:v>
                </c:pt>
              </c:numCache>
            </c:numRef>
          </c:val>
          <c:smooth val="0"/>
          <c:extLst>
            <c:ext xmlns:c16="http://schemas.microsoft.com/office/drawing/2014/chart" uri="{C3380CC4-5D6E-409C-BE32-E72D297353CC}">
              <c16:uniqueId val="{00000001-1A50-4EEB-AD1E-EA0532A75B4A}"/>
            </c:ext>
          </c:extLst>
        </c:ser>
        <c:ser>
          <c:idx val="2"/>
          <c:order val="2"/>
          <c:tx>
            <c:strRef>
              <c:f>ORDER_TABLE!$AH$5</c:f>
              <c:strCache>
                <c:ptCount val="1"/>
                <c:pt idx="0">
                  <c:v>Sum of Profit</c:v>
                </c:pt>
              </c:strCache>
            </c:strRef>
          </c:tx>
          <c:spPr>
            <a:ln w="28575" cap="rnd">
              <a:solidFill>
                <a:schemeClr val="accent3"/>
              </a:solidFill>
              <a:round/>
            </a:ln>
            <a:effectLst/>
          </c:spPr>
          <c:marker>
            <c:symbol val="none"/>
          </c:marker>
          <c:cat>
            <c:strRef>
              <c:f>ORDER_TABLE!$AE$6:$AE$18</c:f>
              <c:strCache>
                <c:ptCount val="12"/>
                <c:pt idx="0">
                  <c:v>1/14/2019</c:v>
                </c:pt>
                <c:pt idx="1">
                  <c:v>1/15/2019</c:v>
                </c:pt>
                <c:pt idx="2">
                  <c:v>01-01-2019</c:v>
                </c:pt>
                <c:pt idx="3">
                  <c:v>01-02-2019</c:v>
                </c:pt>
                <c:pt idx="4">
                  <c:v>01-03-2019</c:v>
                </c:pt>
                <c:pt idx="5">
                  <c:v>01-04-2019</c:v>
                </c:pt>
                <c:pt idx="6">
                  <c:v>01-05-2019</c:v>
                </c:pt>
                <c:pt idx="7">
                  <c:v>01-07-2019</c:v>
                </c:pt>
                <c:pt idx="8">
                  <c:v>01-08-2019</c:v>
                </c:pt>
                <c:pt idx="9">
                  <c:v>01-09-2019</c:v>
                </c:pt>
                <c:pt idx="10">
                  <c:v>01-10-2019</c:v>
                </c:pt>
                <c:pt idx="11">
                  <c:v>01-11-2019</c:v>
                </c:pt>
              </c:strCache>
            </c:strRef>
          </c:cat>
          <c:val>
            <c:numRef>
              <c:f>ORDER_TABLE!$AH$6:$AH$18</c:f>
              <c:numCache>
                <c:formatCode>General</c:formatCode>
                <c:ptCount val="12"/>
                <c:pt idx="0">
                  <c:v>64.046000000000006</c:v>
                </c:pt>
                <c:pt idx="1">
                  <c:v>109.75699999999999</c:v>
                </c:pt>
                <c:pt idx="2">
                  <c:v>28.2668</c:v>
                </c:pt>
                <c:pt idx="3">
                  <c:v>105.541</c:v>
                </c:pt>
                <c:pt idx="4">
                  <c:v>386.48600000000005</c:v>
                </c:pt>
                <c:pt idx="5">
                  <c:v>40.402000000000001</c:v>
                </c:pt>
                <c:pt idx="6">
                  <c:v>46.456800000000008</c:v>
                </c:pt>
                <c:pt idx="7">
                  <c:v>8.1390999999999991</c:v>
                </c:pt>
                <c:pt idx="8">
                  <c:v>449.14030000000002</c:v>
                </c:pt>
                <c:pt idx="9">
                  <c:v>264.49799999999999</c:v>
                </c:pt>
                <c:pt idx="10">
                  <c:v>55.365299999999998</c:v>
                </c:pt>
                <c:pt idx="11">
                  <c:v>25.083399999999997</c:v>
                </c:pt>
              </c:numCache>
            </c:numRef>
          </c:val>
          <c:smooth val="0"/>
          <c:extLst>
            <c:ext xmlns:c16="http://schemas.microsoft.com/office/drawing/2014/chart" uri="{C3380CC4-5D6E-409C-BE32-E72D297353CC}">
              <c16:uniqueId val="{00000002-1A50-4EEB-AD1E-EA0532A75B4A}"/>
            </c:ext>
          </c:extLst>
        </c:ser>
        <c:dLbls>
          <c:showLegendKey val="0"/>
          <c:showVal val="0"/>
          <c:showCatName val="0"/>
          <c:showSerName val="0"/>
          <c:showPercent val="0"/>
          <c:showBubbleSize val="0"/>
        </c:dLbls>
        <c:smooth val="0"/>
        <c:axId val="209354207"/>
        <c:axId val="209366207"/>
      </c:lineChart>
      <c:catAx>
        <c:axId val="2093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66207"/>
        <c:crosses val="autoZero"/>
        <c:auto val="1"/>
        <c:lblAlgn val="ctr"/>
        <c:lblOffset val="100"/>
        <c:noMultiLvlLbl val="0"/>
      </c:catAx>
      <c:valAx>
        <c:axId val="20936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73-49B5-AA56-A9D746D6FF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73-49B5-AA56-A9D746D6FF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73-49B5-AA56-A9D746D6FF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73-49B5-AA56-A9D746D6FFC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73-49B5-AA56-A9D746D6FFC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273-49B5-AA56-A9D746D6FFC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273-49B5-AA56-A9D746D6FFC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273-49B5-AA56-A9D746D6FFC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273-49B5-AA56-A9D746D6FFC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273-49B5-AA56-A9D746D6FFC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273-49B5-AA56-A9D746D6FFC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273-49B5-AA56-A9D746D6FFC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273-49B5-AA56-A9D746D6FFC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273-49B5-AA56-A9D746D6FFC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273-49B5-AA56-A9D746D6FFC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273-49B5-AA56-A9D746D6FFC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273-49B5-AA56-A9D746D6FFC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273-49B5-AA56-A9D746D6FFC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273-49B5-AA56-A9D746D6FFC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273-49B5-AA56-A9D746D6FFC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273-49B5-AA56-A9D746D6FFC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8273-49B5-AA56-A9D746D6FFC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8273-49B5-AA56-A9D746D6FFC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8273-49B5-AA56-A9D746D6FFC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8273-49B5-AA56-A9D746D6FFC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8273-49B5-AA56-A9D746D6FFC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8273-49B5-AA56-A9D746D6FFC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8273-49B5-AA56-A9D746D6FFC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8273-49B5-AA56-A9D746D6FFC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8273-49B5-AA56-A9D746D6FFC2}"/>
              </c:ext>
            </c:extLst>
          </c:dPt>
          <c:cat>
            <c:strLit>
              <c:ptCount val="30"/>
              <c:pt idx="0">
                <c:v>FUR-BO-10002545</c:v>
              </c:pt>
              <c:pt idx="1">
                <c:v>FUR-BO-10004709</c:v>
              </c:pt>
              <c:pt idx="2">
                <c:v>FUR-FU-10000010</c:v>
              </c:pt>
              <c:pt idx="3">
                <c:v>FUR-FU-10000076</c:v>
              </c:pt>
              <c:pt idx="4">
                <c:v>FUR-FU-10002445</c:v>
              </c:pt>
              <c:pt idx="5">
                <c:v>FUR-FU-10004270</c:v>
              </c:pt>
              <c:pt idx="6">
                <c:v>FUR-TA-10000617</c:v>
              </c:pt>
              <c:pt idx="7">
                <c:v>OFF-AR-10001955</c:v>
              </c:pt>
              <c:pt idx="8">
                <c:v>OFF-AR-10003696</c:v>
              </c:pt>
              <c:pt idx="9">
                <c:v>OFF-AR-10003958</c:v>
              </c:pt>
              <c:pt idx="10">
                <c:v>OFF-AR-10004078</c:v>
              </c:pt>
              <c:pt idx="11">
                <c:v>OFF-BI-10001460</c:v>
              </c:pt>
              <c:pt idx="12">
                <c:v>OFF-BI-10002026</c:v>
              </c:pt>
              <c:pt idx="13">
                <c:v>OFF-BI-10004236</c:v>
              </c:pt>
              <c:pt idx="14">
                <c:v>OFF-BI-10004364</c:v>
              </c:pt>
              <c:pt idx="15">
                <c:v>OFF-PA-10001166</c:v>
              </c:pt>
              <c:pt idx="16">
                <c:v>OFF-PA-10003656</c:v>
              </c:pt>
              <c:pt idx="17">
                <c:v>OFF-PA-10004621</c:v>
              </c:pt>
              <c:pt idx="18">
                <c:v>OFF-ST-10003692</c:v>
              </c:pt>
              <c:pt idx="19">
                <c:v>TEC-AC-10000420</c:v>
              </c:pt>
              <c:pt idx="20">
                <c:v>TEC-AC-10001714</c:v>
              </c:pt>
              <c:pt idx="21">
                <c:v>TEC-AC-10002217</c:v>
              </c:pt>
              <c:pt idx="22">
                <c:v>TEC-AC-10002335</c:v>
              </c:pt>
              <c:pt idx="23">
                <c:v>TEC-AC-10002942</c:v>
              </c:pt>
              <c:pt idx="24">
                <c:v>TEC-CO-10000971</c:v>
              </c:pt>
              <c:pt idx="25">
                <c:v>TEC-PH-10000455</c:v>
              </c:pt>
              <c:pt idx="26">
                <c:v>TEC-PH-10002726</c:v>
              </c:pt>
              <c:pt idx="27">
                <c:v>TEC-PH-10002890</c:v>
              </c:pt>
              <c:pt idx="28">
                <c:v>TEC-PH-10002923</c:v>
              </c:pt>
              <c:pt idx="29">
                <c:v>TEC-PH-10004080</c:v>
              </c:pt>
            </c:strLit>
          </c:cat>
          <c:val>
            <c:numLit>
              <c:formatCode>General</c:formatCode>
              <c:ptCount val="30"/>
              <c:pt idx="0">
                <c:v>93</c:v>
              </c:pt>
              <c:pt idx="1">
                <c:v>149</c:v>
              </c:pt>
              <c:pt idx="2">
                <c:v>9</c:v>
              </c:pt>
              <c:pt idx="3">
                <c:v>88</c:v>
              </c:pt>
              <c:pt idx="4">
                <c:v>43</c:v>
              </c:pt>
              <c:pt idx="5">
                <c:v>93</c:v>
              </c:pt>
              <c:pt idx="6">
                <c:v>90</c:v>
              </c:pt>
              <c:pt idx="7">
                <c:v>73</c:v>
              </c:pt>
              <c:pt idx="8">
                <c:v>13</c:v>
              </c:pt>
              <c:pt idx="9">
                <c:v>50</c:v>
              </c:pt>
              <c:pt idx="10">
                <c:v>81</c:v>
              </c:pt>
              <c:pt idx="11">
                <c:v>61</c:v>
              </c:pt>
              <c:pt idx="12">
                <c:v>98</c:v>
              </c:pt>
              <c:pt idx="13">
                <c:v>70</c:v>
              </c:pt>
              <c:pt idx="14">
                <c:v>84</c:v>
              </c:pt>
              <c:pt idx="15">
                <c:v>20</c:v>
              </c:pt>
              <c:pt idx="16">
                <c:v>36</c:v>
              </c:pt>
              <c:pt idx="17">
                <c:v>49</c:v>
              </c:pt>
              <c:pt idx="18">
                <c:v>59</c:v>
              </c:pt>
              <c:pt idx="19">
                <c:v>46</c:v>
              </c:pt>
              <c:pt idx="20">
                <c:v>79</c:v>
              </c:pt>
              <c:pt idx="21">
                <c:v>30</c:v>
              </c:pt>
              <c:pt idx="22">
                <c:v>87</c:v>
              </c:pt>
              <c:pt idx="23">
                <c:v>33</c:v>
              </c:pt>
              <c:pt idx="24">
                <c:v>10</c:v>
              </c:pt>
              <c:pt idx="25">
                <c:v>38</c:v>
              </c:pt>
              <c:pt idx="26">
                <c:v>4</c:v>
              </c:pt>
              <c:pt idx="27">
                <c:v>52</c:v>
              </c:pt>
              <c:pt idx="28">
                <c:v>26</c:v>
              </c:pt>
              <c:pt idx="29">
                <c:v>99</c:v>
              </c:pt>
            </c:numLit>
          </c:val>
          <c:extLst>
            <c:ext xmlns:c16="http://schemas.microsoft.com/office/drawing/2014/chart" uri="{C3380CC4-5D6E-409C-BE32-E72D297353CC}">
              <c16:uniqueId val="{0000003C-8273-49B5-AA56-A9D746D6FF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[sample.xlsx]INVENTORY_TABLE!PivotTable11</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INVENTORY_TABLE!$AA$3</c:f>
              <c:strCache>
                <c:ptCount val="1"/>
                <c:pt idx="0">
                  <c:v>Total</c:v>
                </c:pt>
              </c:strCache>
            </c:strRef>
          </c:tx>
          <c:spPr>
            <a:solidFill>
              <a:schemeClr val="accent1"/>
            </a:solidFill>
            <a:ln>
              <a:noFill/>
            </a:ln>
            <a:effectLst/>
          </c:spPr>
          <c:invertIfNegative val="0"/>
          <c:cat>
            <c:strRef>
              <c:f>INVENTORY_TABLE!$Z$4:$Z$34</c:f>
              <c:strCache>
                <c:ptCount val="30"/>
                <c:pt idx="0">
                  <c:v>FUR-BO-10002545</c:v>
                </c:pt>
                <c:pt idx="1">
                  <c:v>FUR-BO-10004709</c:v>
                </c:pt>
                <c:pt idx="2">
                  <c:v>FUR-FU-10000010</c:v>
                </c:pt>
                <c:pt idx="3">
                  <c:v>FUR-FU-10000076</c:v>
                </c:pt>
                <c:pt idx="4">
                  <c:v>FUR-FU-10002445</c:v>
                </c:pt>
                <c:pt idx="5">
                  <c:v>FUR-FU-10004270</c:v>
                </c:pt>
                <c:pt idx="6">
                  <c:v>FUR-TA-10000617</c:v>
                </c:pt>
                <c:pt idx="7">
                  <c:v>OFF-AR-10001955</c:v>
                </c:pt>
                <c:pt idx="8">
                  <c:v>OFF-AR-10003696</c:v>
                </c:pt>
                <c:pt idx="9">
                  <c:v>OFF-AR-10003958</c:v>
                </c:pt>
                <c:pt idx="10">
                  <c:v>OFF-AR-10004078</c:v>
                </c:pt>
                <c:pt idx="11">
                  <c:v>OFF-BI-10001460</c:v>
                </c:pt>
                <c:pt idx="12">
                  <c:v>OFF-BI-10002026</c:v>
                </c:pt>
                <c:pt idx="13">
                  <c:v>OFF-BI-10004236</c:v>
                </c:pt>
                <c:pt idx="14">
                  <c:v>OFF-BI-10004364</c:v>
                </c:pt>
                <c:pt idx="15">
                  <c:v>OFF-PA-10001166</c:v>
                </c:pt>
                <c:pt idx="16">
                  <c:v>OFF-PA-10003656</c:v>
                </c:pt>
                <c:pt idx="17">
                  <c:v>OFF-PA-10004621</c:v>
                </c:pt>
                <c:pt idx="18">
                  <c:v>OFF-ST-10003692</c:v>
                </c:pt>
                <c:pt idx="19">
                  <c:v>TEC-AC-10000420</c:v>
                </c:pt>
                <c:pt idx="20">
                  <c:v>TEC-AC-10001714</c:v>
                </c:pt>
                <c:pt idx="21">
                  <c:v>TEC-AC-10002217</c:v>
                </c:pt>
                <c:pt idx="22">
                  <c:v>TEC-AC-10002335</c:v>
                </c:pt>
                <c:pt idx="23">
                  <c:v>TEC-AC-10002942</c:v>
                </c:pt>
                <c:pt idx="24">
                  <c:v>TEC-CO-10000971</c:v>
                </c:pt>
                <c:pt idx="25">
                  <c:v>TEC-PH-10000455</c:v>
                </c:pt>
                <c:pt idx="26">
                  <c:v>TEC-PH-10002726</c:v>
                </c:pt>
                <c:pt idx="27">
                  <c:v>TEC-PH-10002890</c:v>
                </c:pt>
                <c:pt idx="28">
                  <c:v>TEC-PH-10002923</c:v>
                </c:pt>
                <c:pt idx="29">
                  <c:v>TEC-PH-10004080</c:v>
                </c:pt>
              </c:strCache>
            </c:strRef>
          </c:cat>
          <c:val>
            <c:numRef>
              <c:f>INVENTORY_TABLE!$AA$4:$AA$34</c:f>
              <c:numCache>
                <c:formatCode>General</c:formatCode>
                <c:ptCount val="30"/>
                <c:pt idx="0">
                  <c:v>93</c:v>
                </c:pt>
                <c:pt idx="1">
                  <c:v>149</c:v>
                </c:pt>
                <c:pt idx="2">
                  <c:v>9</c:v>
                </c:pt>
                <c:pt idx="3">
                  <c:v>88</c:v>
                </c:pt>
                <c:pt idx="4">
                  <c:v>43</c:v>
                </c:pt>
                <c:pt idx="5">
                  <c:v>93</c:v>
                </c:pt>
                <c:pt idx="6">
                  <c:v>90</c:v>
                </c:pt>
                <c:pt idx="7">
                  <c:v>73</c:v>
                </c:pt>
                <c:pt idx="8">
                  <c:v>13</c:v>
                </c:pt>
                <c:pt idx="9">
                  <c:v>50</c:v>
                </c:pt>
                <c:pt idx="10">
                  <c:v>81</c:v>
                </c:pt>
                <c:pt idx="11">
                  <c:v>61</c:v>
                </c:pt>
                <c:pt idx="12">
                  <c:v>98</c:v>
                </c:pt>
                <c:pt idx="13">
                  <c:v>70</c:v>
                </c:pt>
                <c:pt idx="14">
                  <c:v>84</c:v>
                </c:pt>
                <c:pt idx="15">
                  <c:v>20</c:v>
                </c:pt>
                <c:pt idx="16">
                  <c:v>36</c:v>
                </c:pt>
                <c:pt idx="17">
                  <c:v>49</c:v>
                </c:pt>
                <c:pt idx="18">
                  <c:v>59</c:v>
                </c:pt>
                <c:pt idx="19">
                  <c:v>46</c:v>
                </c:pt>
                <c:pt idx="20">
                  <c:v>79</c:v>
                </c:pt>
                <c:pt idx="21">
                  <c:v>30</c:v>
                </c:pt>
                <c:pt idx="22">
                  <c:v>87</c:v>
                </c:pt>
                <c:pt idx="23">
                  <c:v>33</c:v>
                </c:pt>
                <c:pt idx="24">
                  <c:v>10</c:v>
                </c:pt>
                <c:pt idx="25">
                  <c:v>38</c:v>
                </c:pt>
                <c:pt idx="26">
                  <c:v>4</c:v>
                </c:pt>
                <c:pt idx="27">
                  <c:v>52</c:v>
                </c:pt>
                <c:pt idx="28">
                  <c:v>26</c:v>
                </c:pt>
                <c:pt idx="29">
                  <c:v>99</c:v>
                </c:pt>
              </c:numCache>
            </c:numRef>
          </c:val>
          <c:extLst>
            <c:ext xmlns:c16="http://schemas.microsoft.com/office/drawing/2014/chart" uri="{C3380CC4-5D6E-409C-BE32-E72D297353CC}">
              <c16:uniqueId val="{00000000-3354-40C9-8A4C-1690FD4D0877}"/>
            </c:ext>
          </c:extLst>
        </c:ser>
        <c:dLbls>
          <c:showLegendKey val="0"/>
          <c:showVal val="0"/>
          <c:showCatName val="0"/>
          <c:showSerName val="0"/>
          <c:showPercent val="0"/>
          <c:showBubbleSize val="0"/>
        </c:dLbls>
        <c:gapWidth val="219"/>
        <c:overlap val="-27"/>
        <c:axId val="209351327"/>
        <c:axId val="209368127"/>
      </c:barChart>
      <c:catAx>
        <c:axId val="20935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68127"/>
        <c:crosses val="autoZero"/>
        <c:auto val="1"/>
        <c:lblAlgn val="ctr"/>
        <c:lblOffset val="100"/>
        <c:noMultiLvlLbl val="0"/>
      </c:catAx>
      <c:valAx>
        <c:axId val="20936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[sample.xlsx]INVENTORY_TABLE!PivotTable11</c:name>
    <c:fmtId val="4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INVENTORY_TABLE!$AA$3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INVENTORY_TABLE!$Z$4:$Z$34</c:f>
              <c:strCache>
                <c:ptCount val="30"/>
                <c:pt idx="0">
                  <c:v>FUR-BO-10002545</c:v>
                </c:pt>
                <c:pt idx="1">
                  <c:v>FUR-BO-10004709</c:v>
                </c:pt>
                <c:pt idx="2">
                  <c:v>FUR-FU-10000010</c:v>
                </c:pt>
                <c:pt idx="3">
                  <c:v>FUR-FU-10000076</c:v>
                </c:pt>
                <c:pt idx="4">
                  <c:v>FUR-FU-10002445</c:v>
                </c:pt>
                <c:pt idx="5">
                  <c:v>FUR-FU-10004270</c:v>
                </c:pt>
                <c:pt idx="6">
                  <c:v>FUR-TA-10000617</c:v>
                </c:pt>
                <c:pt idx="7">
                  <c:v>OFF-AR-10001955</c:v>
                </c:pt>
                <c:pt idx="8">
                  <c:v>OFF-AR-10003696</c:v>
                </c:pt>
                <c:pt idx="9">
                  <c:v>OFF-AR-10003958</c:v>
                </c:pt>
                <c:pt idx="10">
                  <c:v>OFF-AR-10004078</c:v>
                </c:pt>
                <c:pt idx="11">
                  <c:v>OFF-BI-10001460</c:v>
                </c:pt>
                <c:pt idx="12">
                  <c:v>OFF-BI-10002026</c:v>
                </c:pt>
                <c:pt idx="13">
                  <c:v>OFF-BI-10004236</c:v>
                </c:pt>
                <c:pt idx="14">
                  <c:v>OFF-BI-10004364</c:v>
                </c:pt>
                <c:pt idx="15">
                  <c:v>OFF-PA-10001166</c:v>
                </c:pt>
                <c:pt idx="16">
                  <c:v>OFF-PA-10003656</c:v>
                </c:pt>
                <c:pt idx="17">
                  <c:v>OFF-PA-10004621</c:v>
                </c:pt>
                <c:pt idx="18">
                  <c:v>OFF-ST-10003692</c:v>
                </c:pt>
                <c:pt idx="19">
                  <c:v>TEC-AC-10000420</c:v>
                </c:pt>
                <c:pt idx="20">
                  <c:v>TEC-AC-10001714</c:v>
                </c:pt>
                <c:pt idx="21">
                  <c:v>TEC-AC-10002217</c:v>
                </c:pt>
                <c:pt idx="22">
                  <c:v>TEC-AC-10002335</c:v>
                </c:pt>
                <c:pt idx="23">
                  <c:v>TEC-AC-10002942</c:v>
                </c:pt>
                <c:pt idx="24">
                  <c:v>TEC-CO-10000971</c:v>
                </c:pt>
                <c:pt idx="25">
                  <c:v>TEC-PH-10000455</c:v>
                </c:pt>
                <c:pt idx="26">
                  <c:v>TEC-PH-10002726</c:v>
                </c:pt>
                <c:pt idx="27">
                  <c:v>TEC-PH-10002890</c:v>
                </c:pt>
                <c:pt idx="28">
                  <c:v>TEC-PH-10002923</c:v>
                </c:pt>
                <c:pt idx="29">
                  <c:v>TEC-PH-10004080</c:v>
                </c:pt>
              </c:strCache>
            </c:strRef>
          </c:cat>
          <c:val>
            <c:numRef>
              <c:f>INVENTORY_TABLE!$AA$4:$AA$34</c:f>
              <c:numCache>
                <c:formatCode>General</c:formatCode>
                <c:ptCount val="30"/>
                <c:pt idx="0">
                  <c:v>93</c:v>
                </c:pt>
                <c:pt idx="1">
                  <c:v>149</c:v>
                </c:pt>
                <c:pt idx="2">
                  <c:v>9</c:v>
                </c:pt>
                <c:pt idx="3">
                  <c:v>88</c:v>
                </c:pt>
                <c:pt idx="4">
                  <c:v>43</c:v>
                </c:pt>
                <c:pt idx="5">
                  <c:v>93</c:v>
                </c:pt>
                <c:pt idx="6">
                  <c:v>90</c:v>
                </c:pt>
                <c:pt idx="7">
                  <c:v>73</c:v>
                </c:pt>
                <c:pt idx="8">
                  <c:v>13</c:v>
                </c:pt>
                <c:pt idx="9">
                  <c:v>50</c:v>
                </c:pt>
                <c:pt idx="10">
                  <c:v>81</c:v>
                </c:pt>
                <c:pt idx="11">
                  <c:v>61</c:v>
                </c:pt>
                <c:pt idx="12">
                  <c:v>98</c:v>
                </c:pt>
                <c:pt idx="13">
                  <c:v>70</c:v>
                </c:pt>
                <c:pt idx="14">
                  <c:v>84</c:v>
                </c:pt>
                <c:pt idx="15">
                  <c:v>20</c:v>
                </c:pt>
                <c:pt idx="16">
                  <c:v>36</c:v>
                </c:pt>
                <c:pt idx="17">
                  <c:v>49</c:v>
                </c:pt>
                <c:pt idx="18">
                  <c:v>59</c:v>
                </c:pt>
                <c:pt idx="19">
                  <c:v>46</c:v>
                </c:pt>
                <c:pt idx="20">
                  <c:v>79</c:v>
                </c:pt>
                <c:pt idx="21">
                  <c:v>30</c:v>
                </c:pt>
                <c:pt idx="22">
                  <c:v>87</c:v>
                </c:pt>
                <c:pt idx="23">
                  <c:v>33</c:v>
                </c:pt>
                <c:pt idx="24">
                  <c:v>10</c:v>
                </c:pt>
                <c:pt idx="25">
                  <c:v>38</c:v>
                </c:pt>
                <c:pt idx="26">
                  <c:v>4</c:v>
                </c:pt>
                <c:pt idx="27">
                  <c:v>52</c:v>
                </c:pt>
                <c:pt idx="28">
                  <c:v>26</c:v>
                </c:pt>
                <c:pt idx="29">
                  <c:v>99</c:v>
                </c:pt>
              </c:numCache>
            </c:numRef>
          </c:val>
          <c:smooth val="0"/>
          <c:extLst>
            <c:ext xmlns:c16="http://schemas.microsoft.com/office/drawing/2014/chart" uri="{C3380CC4-5D6E-409C-BE32-E72D297353CC}">
              <c16:uniqueId val="{00000000-9AD3-4158-ACE6-32E73F255818}"/>
            </c:ext>
          </c:extLst>
        </c:ser>
        <c:dLbls>
          <c:showLegendKey val="0"/>
          <c:showVal val="0"/>
          <c:showCatName val="0"/>
          <c:showSerName val="0"/>
          <c:showPercent val="0"/>
          <c:showBubbleSize val="0"/>
        </c:dLbls>
        <c:marker val="1"/>
        <c:smooth val="0"/>
        <c:axId val="228063647"/>
        <c:axId val="228064127"/>
      </c:lineChart>
      <c:catAx>
        <c:axId val="22806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064127"/>
        <c:crosses val="autoZero"/>
        <c:auto val="1"/>
        <c:lblAlgn val="ctr"/>
        <c:lblOffset val="100"/>
        <c:noMultiLvlLbl val="0"/>
      </c:catAx>
      <c:valAx>
        <c:axId val="22806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06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[sample.xlsx]INVENTORY_TABLE!PivotTable11</c:name>
    <c:fmtId val="5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INVENTORY_TABLE!$AA$3</c:f>
              <c:strCache>
                <c:ptCount val="1"/>
                <c:pt idx="0">
                  <c:v>Total</c:v>
                </c:pt>
              </c:strCache>
            </c:strRef>
          </c:tx>
          <c:spPr>
            <a:solidFill>
              <a:schemeClr val="accent1"/>
            </a:solidFill>
            <a:ln>
              <a:noFill/>
            </a:ln>
            <a:effectLst/>
          </c:spPr>
          <c:invertIfNegative val="0"/>
          <c:cat>
            <c:strRef>
              <c:f>INVENTORY_TABLE!$Z$4:$Z$34</c:f>
              <c:strCache>
                <c:ptCount val="30"/>
                <c:pt idx="0">
                  <c:v>FUR-BO-10002545</c:v>
                </c:pt>
                <c:pt idx="1">
                  <c:v>FUR-BO-10004709</c:v>
                </c:pt>
                <c:pt idx="2">
                  <c:v>FUR-FU-10000010</c:v>
                </c:pt>
                <c:pt idx="3">
                  <c:v>FUR-FU-10000076</c:v>
                </c:pt>
                <c:pt idx="4">
                  <c:v>FUR-FU-10002445</c:v>
                </c:pt>
                <c:pt idx="5">
                  <c:v>FUR-FU-10004270</c:v>
                </c:pt>
                <c:pt idx="6">
                  <c:v>FUR-TA-10000617</c:v>
                </c:pt>
                <c:pt idx="7">
                  <c:v>OFF-AR-10001955</c:v>
                </c:pt>
                <c:pt idx="8">
                  <c:v>OFF-AR-10003696</c:v>
                </c:pt>
                <c:pt idx="9">
                  <c:v>OFF-AR-10003958</c:v>
                </c:pt>
                <c:pt idx="10">
                  <c:v>OFF-AR-10004078</c:v>
                </c:pt>
                <c:pt idx="11">
                  <c:v>OFF-BI-10001460</c:v>
                </c:pt>
                <c:pt idx="12">
                  <c:v>OFF-BI-10002026</c:v>
                </c:pt>
                <c:pt idx="13">
                  <c:v>OFF-BI-10004236</c:v>
                </c:pt>
                <c:pt idx="14">
                  <c:v>OFF-BI-10004364</c:v>
                </c:pt>
                <c:pt idx="15">
                  <c:v>OFF-PA-10001166</c:v>
                </c:pt>
                <c:pt idx="16">
                  <c:v>OFF-PA-10003656</c:v>
                </c:pt>
                <c:pt idx="17">
                  <c:v>OFF-PA-10004621</c:v>
                </c:pt>
                <c:pt idx="18">
                  <c:v>OFF-ST-10003692</c:v>
                </c:pt>
                <c:pt idx="19">
                  <c:v>TEC-AC-10000420</c:v>
                </c:pt>
                <c:pt idx="20">
                  <c:v>TEC-AC-10001714</c:v>
                </c:pt>
                <c:pt idx="21">
                  <c:v>TEC-AC-10002217</c:v>
                </c:pt>
                <c:pt idx="22">
                  <c:v>TEC-AC-10002335</c:v>
                </c:pt>
                <c:pt idx="23">
                  <c:v>TEC-AC-10002942</c:v>
                </c:pt>
                <c:pt idx="24">
                  <c:v>TEC-CO-10000971</c:v>
                </c:pt>
                <c:pt idx="25">
                  <c:v>TEC-PH-10000455</c:v>
                </c:pt>
                <c:pt idx="26">
                  <c:v>TEC-PH-10002726</c:v>
                </c:pt>
                <c:pt idx="27">
                  <c:v>TEC-PH-10002890</c:v>
                </c:pt>
                <c:pt idx="28">
                  <c:v>TEC-PH-10002923</c:v>
                </c:pt>
                <c:pt idx="29">
                  <c:v>TEC-PH-10004080</c:v>
                </c:pt>
              </c:strCache>
            </c:strRef>
          </c:cat>
          <c:val>
            <c:numRef>
              <c:f>INVENTORY_TABLE!$AA$4:$AA$34</c:f>
              <c:numCache>
                <c:formatCode>General</c:formatCode>
                <c:ptCount val="30"/>
                <c:pt idx="0">
                  <c:v>93</c:v>
                </c:pt>
                <c:pt idx="1">
                  <c:v>149</c:v>
                </c:pt>
                <c:pt idx="2">
                  <c:v>9</c:v>
                </c:pt>
                <c:pt idx="3">
                  <c:v>88</c:v>
                </c:pt>
                <c:pt idx="4">
                  <c:v>43</c:v>
                </c:pt>
                <c:pt idx="5">
                  <c:v>93</c:v>
                </c:pt>
                <c:pt idx="6">
                  <c:v>90</c:v>
                </c:pt>
                <c:pt idx="7">
                  <c:v>73</c:v>
                </c:pt>
                <c:pt idx="8">
                  <c:v>13</c:v>
                </c:pt>
                <c:pt idx="9">
                  <c:v>50</c:v>
                </c:pt>
                <c:pt idx="10">
                  <c:v>81</c:v>
                </c:pt>
                <c:pt idx="11">
                  <c:v>61</c:v>
                </c:pt>
                <c:pt idx="12">
                  <c:v>98</c:v>
                </c:pt>
                <c:pt idx="13">
                  <c:v>70</c:v>
                </c:pt>
                <c:pt idx="14">
                  <c:v>84</c:v>
                </c:pt>
                <c:pt idx="15">
                  <c:v>20</c:v>
                </c:pt>
                <c:pt idx="16">
                  <c:v>36</c:v>
                </c:pt>
                <c:pt idx="17">
                  <c:v>49</c:v>
                </c:pt>
                <c:pt idx="18">
                  <c:v>59</c:v>
                </c:pt>
                <c:pt idx="19">
                  <c:v>46</c:v>
                </c:pt>
                <c:pt idx="20">
                  <c:v>79</c:v>
                </c:pt>
                <c:pt idx="21">
                  <c:v>30</c:v>
                </c:pt>
                <c:pt idx="22">
                  <c:v>87</c:v>
                </c:pt>
                <c:pt idx="23">
                  <c:v>33</c:v>
                </c:pt>
                <c:pt idx="24">
                  <c:v>10</c:v>
                </c:pt>
                <c:pt idx="25">
                  <c:v>38</c:v>
                </c:pt>
                <c:pt idx="26">
                  <c:v>4</c:v>
                </c:pt>
                <c:pt idx="27">
                  <c:v>52</c:v>
                </c:pt>
                <c:pt idx="28">
                  <c:v>26</c:v>
                </c:pt>
                <c:pt idx="29">
                  <c:v>99</c:v>
                </c:pt>
              </c:numCache>
            </c:numRef>
          </c:val>
          <c:extLst>
            <c:ext xmlns:c16="http://schemas.microsoft.com/office/drawing/2014/chart" uri="{C3380CC4-5D6E-409C-BE32-E72D297353CC}">
              <c16:uniqueId val="{00000000-E48B-4B66-8283-A936389A6C8F}"/>
            </c:ext>
          </c:extLst>
        </c:ser>
        <c:dLbls>
          <c:showLegendKey val="0"/>
          <c:showVal val="0"/>
          <c:showCatName val="0"/>
          <c:showSerName val="0"/>
          <c:showPercent val="0"/>
          <c:showBubbleSize val="0"/>
        </c:dLbls>
        <c:gapWidth val="182"/>
        <c:axId val="2055872432"/>
        <c:axId val="2055868112"/>
      </c:barChart>
      <c:catAx>
        <c:axId val="205587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68112"/>
        <c:crosses val="autoZero"/>
        <c:auto val="1"/>
        <c:lblAlgn val="ctr"/>
        <c:lblOffset val="100"/>
        <c:noMultiLvlLbl val="0"/>
      </c:catAx>
      <c:valAx>
        <c:axId val="2055868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7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Target Sales</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275000</c:v>
              </c:pt>
              <c:pt idx="1">
                <c:v>285000</c:v>
              </c:pt>
              <c:pt idx="2">
                <c:v>295000</c:v>
              </c:pt>
              <c:pt idx="3">
                <c:v>306000</c:v>
              </c:pt>
              <c:pt idx="4">
                <c:v>243000</c:v>
              </c:pt>
              <c:pt idx="5">
                <c:v>251000</c:v>
              </c:pt>
              <c:pt idx="6">
                <c:v>259000</c:v>
              </c:pt>
              <c:pt idx="7">
                <c:v>267000</c:v>
              </c:pt>
              <c:pt idx="8">
                <c:v>275000</c:v>
              </c:pt>
              <c:pt idx="9">
                <c:v>283000</c:v>
              </c:pt>
              <c:pt idx="10">
                <c:v>291000</c:v>
              </c:pt>
              <c:pt idx="11">
                <c:v>299000</c:v>
              </c:pt>
            </c:numLit>
          </c:val>
          <c:extLst>
            <c:ext xmlns:c16="http://schemas.microsoft.com/office/drawing/2014/chart" uri="{C3380CC4-5D6E-409C-BE32-E72D297353CC}">
              <c16:uniqueId val="{00000000-87FD-4758-9628-F12F66161E7E}"/>
            </c:ext>
          </c:extLst>
        </c:ser>
        <c:ser>
          <c:idx val="1"/>
          <c:order val="1"/>
          <c:tx>
            <c:v>Count of Months (Month)</c:v>
          </c:tx>
          <c:spPr>
            <a:solidFill>
              <a:schemeClr val="accent2"/>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c:v>
              </c:pt>
              <c:pt idx="1">
                <c:v>5</c:v>
              </c:pt>
              <c:pt idx="2">
                <c:v>5</c:v>
              </c:pt>
              <c:pt idx="3">
                <c:v>5</c:v>
              </c:pt>
              <c:pt idx="4">
                <c:v>4</c:v>
              </c:pt>
              <c:pt idx="5">
                <c:v>4</c:v>
              </c:pt>
              <c:pt idx="6">
                <c:v>4</c:v>
              </c:pt>
              <c:pt idx="7">
                <c:v>4</c:v>
              </c:pt>
              <c:pt idx="8">
                <c:v>4</c:v>
              </c:pt>
              <c:pt idx="9">
                <c:v>4</c:v>
              </c:pt>
              <c:pt idx="10">
                <c:v>4</c:v>
              </c:pt>
              <c:pt idx="11">
                <c:v>4</c:v>
              </c:pt>
            </c:numLit>
          </c:val>
          <c:extLst>
            <c:ext xmlns:c16="http://schemas.microsoft.com/office/drawing/2014/chart" uri="{C3380CC4-5D6E-409C-BE32-E72D297353CC}">
              <c16:uniqueId val="{00000001-87FD-4758-9628-F12F66161E7E}"/>
            </c:ext>
          </c:extLst>
        </c:ser>
        <c:dLbls>
          <c:showLegendKey val="0"/>
          <c:showVal val="0"/>
          <c:showCatName val="0"/>
          <c:showSerName val="0"/>
          <c:showPercent val="0"/>
          <c:showBubbleSize val="0"/>
        </c:dLbls>
        <c:gapWidth val="182"/>
        <c:axId val="473873328"/>
        <c:axId val="473873808"/>
      </c:barChart>
      <c:catAx>
        <c:axId val="47387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73808"/>
        <c:crosses val="autoZero"/>
        <c:auto val="1"/>
        <c:lblAlgn val="ctr"/>
        <c:lblOffset val="100"/>
        <c:noMultiLvlLbl val="0"/>
      </c:catAx>
      <c:valAx>
        <c:axId val="473873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87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[sample.xlsx]SALES_TABLE!PivotTable13</c:name>
    <c:fmtId val="2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SALES_TABLE!$AC$4</c:f>
              <c:strCache>
                <c:ptCount val="1"/>
                <c:pt idx="0">
                  <c:v>Sum of Target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SALES_TABLE!$AB$5:$AB$17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SALES_TABLE!$AC$5:$AC$17</c:f>
              <c:numCache>
                <c:formatCode>General</c:formatCode>
                <c:ptCount val="12"/>
                <c:pt idx="0">
                  <c:v>275000</c:v>
                </c:pt>
                <c:pt idx="1">
                  <c:v>285000</c:v>
                </c:pt>
                <c:pt idx="2">
                  <c:v>295000</c:v>
                </c:pt>
                <c:pt idx="3">
                  <c:v>306000</c:v>
                </c:pt>
                <c:pt idx="4">
                  <c:v>243000</c:v>
                </c:pt>
                <c:pt idx="5">
                  <c:v>251000</c:v>
                </c:pt>
                <c:pt idx="6">
                  <c:v>259000</c:v>
                </c:pt>
                <c:pt idx="7">
                  <c:v>267000</c:v>
                </c:pt>
                <c:pt idx="8">
                  <c:v>275000</c:v>
                </c:pt>
                <c:pt idx="9">
                  <c:v>283000</c:v>
                </c:pt>
                <c:pt idx="10">
                  <c:v>291000</c:v>
                </c:pt>
                <c:pt idx="11">
                  <c:v>299000</c:v>
                </c:pt>
              </c:numCache>
            </c:numRef>
          </c:val>
          <c:smooth val="0"/>
          <c:extLst>
            <c:ext xmlns:c16="http://schemas.microsoft.com/office/drawing/2014/chart" uri="{C3380CC4-5D6E-409C-BE32-E72D297353CC}">
              <c16:uniqueId val="{00000000-D67F-4145-86D5-8E20D4B1CEC0}"/>
            </c:ext>
          </c:extLst>
        </c:ser>
        <c:ser>
          <c:idx val="1"/>
          <c:order val="1"/>
          <c:tx>
            <c:strRef>
              <c:f>SALES_TABLE!$AD$4</c:f>
              <c:strCache>
                <c:ptCount val="1"/>
                <c:pt idx="0">
                  <c:v>Count of Months (Month)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SALES_TABLE!$AB$5:$AB$17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SALES_TABLE!$AD$5:$AD$17</c:f>
              <c:numCache>
                <c:formatCode>General</c:formatCode>
                <c:ptCount val="12"/>
                <c:pt idx="0">
                  <c:v>5</c:v>
                </c:pt>
                <c:pt idx="1">
                  <c:v>5</c:v>
                </c:pt>
                <c:pt idx="2">
                  <c:v>5</c:v>
                </c:pt>
                <c:pt idx="3">
                  <c:v>5</c:v>
                </c:pt>
                <c:pt idx="4">
                  <c:v>4</c:v>
                </c:pt>
                <c:pt idx="5">
                  <c:v>4</c:v>
                </c:pt>
                <c:pt idx="6">
                  <c:v>4</c:v>
                </c:pt>
                <c:pt idx="7">
                  <c:v>4</c:v>
                </c:pt>
                <c:pt idx="8">
                  <c:v>4</c:v>
                </c:pt>
                <c:pt idx="9">
                  <c:v>4</c:v>
                </c:pt>
                <c:pt idx="10">
                  <c:v>4</c:v>
                </c:pt>
                <c:pt idx="11">
                  <c:v>4</c:v>
                </c:pt>
              </c:numCache>
            </c:numRef>
          </c:val>
          <c:smooth val="0"/>
          <c:extLst>
            <c:ext xmlns:c16="http://schemas.microsoft.com/office/drawing/2014/chart" uri="{C3380CC4-5D6E-409C-BE32-E72D297353CC}">
              <c16:uniqueId val="{00000001-D67F-4145-86D5-8E20D4B1CEC0}"/>
            </c:ext>
          </c:extLst>
        </c:ser>
        <c:dLbls>
          <c:showLegendKey val="0"/>
          <c:showVal val="0"/>
          <c:showCatName val="0"/>
          <c:showSerName val="0"/>
          <c:showPercent val="0"/>
          <c:showBubbleSize val="0"/>
        </c:dLbls>
        <c:marker val="1"/>
        <c:smooth val="0"/>
        <c:axId val="824150400"/>
        <c:axId val="824134080"/>
      </c:lineChart>
      <c:catAx>
        <c:axId val="82415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34080"/>
        <c:crosses val="autoZero"/>
        <c:auto val="1"/>
        <c:lblAlgn val="ctr"/>
        <c:lblOffset val="100"/>
        <c:noMultiLvlLbl val="0"/>
      </c:catAx>
      <c:valAx>
        <c:axId val="82413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15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[sample.xlsx]SALES_TABLE!PivotTable13</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SALES_TABLE!$AC$4</c:f>
              <c:strCache>
                <c:ptCount val="1"/>
                <c:pt idx="0">
                  <c:v>Sum of Target Sales</c:v>
                </c:pt>
              </c:strCache>
            </c:strRef>
          </c:tx>
          <c:spPr>
            <a:solidFill>
              <a:schemeClr val="accent1"/>
            </a:solidFill>
            <a:ln>
              <a:noFill/>
            </a:ln>
            <a:effectLst/>
          </c:spPr>
          <c:invertIfNegative val="0"/>
          <c:cat>
            <c:strRef>
              <c:f>SALES_TABLE!$AB$5:$AB$17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SALES_TABLE!$AC$5:$AC$17</c:f>
              <c:numCache>
                <c:formatCode>General</c:formatCode>
                <c:ptCount val="12"/>
                <c:pt idx="0">
                  <c:v>275000</c:v>
                </c:pt>
                <c:pt idx="1">
                  <c:v>285000</c:v>
                </c:pt>
                <c:pt idx="2">
                  <c:v>295000</c:v>
                </c:pt>
                <c:pt idx="3">
                  <c:v>306000</c:v>
                </c:pt>
                <c:pt idx="4">
                  <c:v>243000</c:v>
                </c:pt>
                <c:pt idx="5">
                  <c:v>251000</c:v>
                </c:pt>
                <c:pt idx="6">
                  <c:v>259000</c:v>
                </c:pt>
                <c:pt idx="7">
                  <c:v>267000</c:v>
                </c:pt>
                <c:pt idx="8">
                  <c:v>275000</c:v>
                </c:pt>
                <c:pt idx="9">
                  <c:v>283000</c:v>
                </c:pt>
                <c:pt idx="10">
                  <c:v>291000</c:v>
                </c:pt>
                <c:pt idx="11">
                  <c:v>299000</c:v>
                </c:pt>
              </c:numCache>
            </c:numRef>
          </c:val>
          <c:extLst>
            <c:ext xmlns:c16="http://schemas.microsoft.com/office/drawing/2014/chart" uri="{C3380CC4-5D6E-409C-BE32-E72D297353CC}">
              <c16:uniqueId val="{00000000-13FA-4D2A-9BF8-2BF66BEF2FB3}"/>
            </c:ext>
          </c:extLst>
        </c:ser>
        <c:ser>
          <c:idx val="1"/>
          <c:order val="1"/>
          <c:tx>
            <c:strRef>
              <c:f>SALES_TABLE!$AD$4</c:f>
              <c:strCache>
                <c:ptCount val="1"/>
                <c:pt idx="0">
                  <c:v>Count of Months (Month)</c:v>
                </c:pt>
              </c:strCache>
            </c:strRef>
          </c:tx>
          <c:spPr>
            <a:solidFill>
              <a:schemeClr val="accent2"/>
            </a:solidFill>
            <a:ln>
              <a:noFill/>
            </a:ln>
            <a:effectLst/>
          </c:spPr>
          <c:invertIfNegative val="0"/>
          <c:cat>
            <c:strRef>
              <c:f>SALES_TABLE!$AB$5:$AB$17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SALES_TABLE!$AD$5:$AD$17</c:f>
              <c:numCache>
                <c:formatCode>General</c:formatCode>
                <c:ptCount val="12"/>
                <c:pt idx="0">
                  <c:v>5</c:v>
                </c:pt>
                <c:pt idx="1">
                  <c:v>5</c:v>
                </c:pt>
                <c:pt idx="2">
                  <c:v>5</c:v>
                </c:pt>
                <c:pt idx="3">
                  <c:v>5</c:v>
                </c:pt>
                <c:pt idx="4">
                  <c:v>4</c:v>
                </c:pt>
                <c:pt idx="5">
                  <c:v>4</c:v>
                </c:pt>
                <c:pt idx="6">
                  <c:v>4</c:v>
                </c:pt>
                <c:pt idx="7">
                  <c:v>4</c:v>
                </c:pt>
                <c:pt idx="8">
                  <c:v>4</c:v>
                </c:pt>
                <c:pt idx="9">
                  <c:v>4</c:v>
                </c:pt>
                <c:pt idx="10">
                  <c:v>4</c:v>
                </c:pt>
                <c:pt idx="11">
                  <c:v>4</c:v>
                </c:pt>
              </c:numCache>
            </c:numRef>
          </c:val>
          <c:extLst>
            <c:ext xmlns:c16="http://schemas.microsoft.com/office/drawing/2014/chart" uri="{C3380CC4-5D6E-409C-BE32-E72D297353CC}">
              <c16:uniqueId val="{00000001-13FA-4D2A-9BF8-2BF66BEF2FB3}"/>
            </c:ext>
          </c:extLst>
        </c:ser>
        <c:dLbls>
          <c:showLegendKey val="0"/>
          <c:showVal val="0"/>
          <c:showCatName val="0"/>
          <c:showSerName val="0"/>
          <c:showPercent val="0"/>
          <c:showBubbleSize val="0"/>
        </c:dLbls>
        <c:gapWidth val="219"/>
        <c:overlap val="-27"/>
        <c:axId val="231427951"/>
        <c:axId val="231435151"/>
      </c:barChart>
      <c:catAx>
        <c:axId val="23142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435151"/>
        <c:crosses val="autoZero"/>
        <c:auto val="1"/>
        <c:lblAlgn val="ctr"/>
        <c:lblOffset val="100"/>
        <c:noMultiLvlLbl val="0"/>
      </c:catAx>
      <c:valAx>
        <c:axId val="23143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42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orders!A1"/><Relationship Id="rId7" Type="http://schemas.openxmlformats.org/officeDocument/2006/relationships/chart" Target="../charts/chart2.xml"/><Relationship Id="rId2" Type="http://schemas.openxmlformats.org/officeDocument/2006/relationships/hyperlink" Target="#Products!A1"/><Relationship Id="rId1" Type="http://schemas.openxmlformats.org/officeDocument/2006/relationships/hyperlink" Target="#customers!A1"/><Relationship Id="rId6" Type="http://schemas.openxmlformats.org/officeDocument/2006/relationships/chart" Target="../charts/chart1.xml"/><Relationship Id="rId5" Type="http://schemas.openxmlformats.org/officeDocument/2006/relationships/hyperlink" Target="#Sales!A1"/><Relationship Id="rId4" Type="http://schemas.openxmlformats.org/officeDocument/2006/relationships/hyperlink" Target="#Inventory!A1"/></Relationships>
</file>

<file path=xl/drawings/_rels/drawing2.xml.rels><?xml version="1.0" encoding="UTF-8" standalone="yes"?>
<Relationships xmlns="http://schemas.openxmlformats.org/package/2006/relationships"><Relationship Id="rId3" Type="http://schemas.openxmlformats.org/officeDocument/2006/relationships/hyperlink" Target="#Inventory!A1"/><Relationship Id="rId7" Type="http://schemas.openxmlformats.org/officeDocument/2006/relationships/chart" Target="../charts/chart6.xml"/><Relationship Id="rId2" Type="http://schemas.openxmlformats.org/officeDocument/2006/relationships/hyperlink" Target="#orders!A1"/><Relationship Id="rId1" Type="http://schemas.openxmlformats.org/officeDocument/2006/relationships/hyperlink" Target="#customers!A1"/><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hyperlink" Target="#Sales!A1"/></Relationships>
</file>

<file path=xl/drawings/_rels/drawing3.xml.rels><?xml version="1.0" encoding="UTF-8" standalone="yes"?>
<Relationships xmlns="http://schemas.openxmlformats.org/package/2006/relationships"><Relationship Id="rId3" Type="http://schemas.openxmlformats.org/officeDocument/2006/relationships/hyperlink" Target="#Inventory!A1"/><Relationship Id="rId7" Type="http://schemas.openxmlformats.org/officeDocument/2006/relationships/chart" Target="../charts/chart9.xml"/><Relationship Id="rId2" Type="http://schemas.openxmlformats.org/officeDocument/2006/relationships/hyperlink" Target="#Products!A1"/><Relationship Id="rId1" Type="http://schemas.openxmlformats.org/officeDocument/2006/relationships/hyperlink" Target="#customers!A1"/><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Sales!A1"/></Relationships>
</file>

<file path=xl/drawings/_rels/drawing4.xml.rels><?xml version="1.0" encoding="UTF-8" standalone="yes"?>
<Relationships xmlns="http://schemas.openxmlformats.org/package/2006/relationships"><Relationship Id="rId3" Type="http://schemas.openxmlformats.org/officeDocument/2006/relationships/hyperlink" Target="#orders!A1"/><Relationship Id="rId2" Type="http://schemas.openxmlformats.org/officeDocument/2006/relationships/hyperlink" Target="#Products!A1"/><Relationship Id="rId1" Type="http://schemas.openxmlformats.org/officeDocument/2006/relationships/hyperlink" Target="#customers!A1"/><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hyperlink" Target="#Sales!A1"/></Relationships>
</file>

<file path=xl/drawings/_rels/drawing5.xml.rels><?xml version="1.0" encoding="UTF-8" standalone="yes"?>
<Relationships xmlns="http://schemas.openxmlformats.org/package/2006/relationships"><Relationship Id="rId3" Type="http://schemas.openxmlformats.org/officeDocument/2006/relationships/hyperlink" Target="#orders!A1"/><Relationship Id="rId2" Type="http://schemas.openxmlformats.org/officeDocument/2006/relationships/hyperlink" Target="#Products!A1"/><Relationship Id="rId1" Type="http://schemas.openxmlformats.org/officeDocument/2006/relationships/hyperlink" Target="#customers!A1"/><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hyperlink" Target="#Inventory!A1"/></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39</xdr:row>
      <xdr:rowOff>42906</xdr:rowOff>
    </xdr:to>
    <xdr:sp macro="" textlink="">
      <xdr:nvSpPr>
        <xdr:cNvPr id="2" name="Rectangle 1">
          <a:extLst>
            <a:ext uri="{FF2B5EF4-FFF2-40B4-BE49-F238E27FC236}">
              <a16:creationId xmlns:a16="http://schemas.microsoft.com/office/drawing/2014/main" id="{7161DC08-6CBF-8429-D010-0016A84C6A9D}"/>
            </a:ext>
          </a:extLst>
        </xdr:cNvPr>
        <xdr:cNvSpPr/>
      </xdr:nvSpPr>
      <xdr:spPr>
        <a:xfrm>
          <a:off x="0" y="0"/>
          <a:ext cx="17516707" cy="729119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492125</xdr:colOff>
      <xdr:row>0</xdr:row>
      <xdr:rowOff>69273</xdr:rowOff>
    </xdr:from>
    <xdr:to>
      <xdr:col>28</xdr:col>
      <xdr:colOff>558681</xdr:colOff>
      <xdr:row>38</xdr:row>
      <xdr:rowOff>154460</xdr:rowOff>
    </xdr:to>
    <xdr:sp macro="" textlink="">
      <xdr:nvSpPr>
        <xdr:cNvPr id="3" name="Rectangle 2">
          <a:extLst>
            <a:ext uri="{FF2B5EF4-FFF2-40B4-BE49-F238E27FC236}">
              <a16:creationId xmlns:a16="http://schemas.microsoft.com/office/drawing/2014/main" id="{AA7C988A-D177-43B7-863A-913BEF10F0F5}"/>
            </a:ext>
          </a:extLst>
        </xdr:cNvPr>
        <xdr:cNvSpPr/>
      </xdr:nvSpPr>
      <xdr:spPr>
        <a:xfrm>
          <a:off x="1704398" y="69273"/>
          <a:ext cx="15826101" cy="7324187"/>
        </a:xfrm>
        <a:prstGeom prst="rect">
          <a:avLst/>
        </a:prstGeom>
        <a:solidFill>
          <a:schemeClr val="tx1">
            <a:lumMod val="50000"/>
            <a:lumOff val="50000"/>
          </a:schemeClr>
        </a:solidFill>
        <a:effectLst>
          <a:glow rad="63500">
            <a:schemeClr val="accent4">
              <a:satMod val="175000"/>
              <a:alpha val="40000"/>
            </a:schemeClr>
          </a:glow>
          <a:outerShdw blurRad="50800" dist="38100" dir="8100000" algn="tr" rotWithShape="0">
            <a:prstClr val="black">
              <a:alpha val="40000"/>
            </a:prstClr>
          </a:outerShdw>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i="1">
            <a:solidFill>
              <a:srgbClr val="CC00CC"/>
            </a:solidFill>
          </a:endParaRPr>
        </a:p>
      </xdr:txBody>
    </xdr:sp>
    <xdr:clientData/>
  </xdr:twoCellAnchor>
  <xdr:twoCellAnchor>
    <xdr:from>
      <xdr:col>0</xdr:col>
      <xdr:colOff>73859</xdr:colOff>
      <xdr:row>11</xdr:row>
      <xdr:rowOff>82721</xdr:rowOff>
    </xdr:from>
    <xdr:to>
      <xdr:col>2</xdr:col>
      <xdr:colOff>371756</xdr:colOff>
      <xdr:row>15</xdr:row>
      <xdr:rowOff>54232</xdr:rowOff>
    </xdr:to>
    <xdr:sp macro="" textlink="">
      <xdr:nvSpPr>
        <xdr:cNvPr id="4" name="TextBox 3">
          <a:hlinkClick xmlns:r="http://schemas.openxmlformats.org/officeDocument/2006/relationships" r:id="rId1"/>
          <a:extLst>
            <a:ext uri="{FF2B5EF4-FFF2-40B4-BE49-F238E27FC236}">
              <a16:creationId xmlns:a16="http://schemas.microsoft.com/office/drawing/2014/main" id="{48A6019A-9B57-DC01-CFC7-05E48D9D28B4}"/>
            </a:ext>
          </a:extLst>
        </xdr:cNvPr>
        <xdr:cNvSpPr txBox="1"/>
      </xdr:nvSpPr>
      <xdr:spPr>
        <a:xfrm>
          <a:off x="73859" y="2097625"/>
          <a:ext cx="1506839" cy="70420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chemeClr val="tx1">
                  <a:lumMod val="95000"/>
                  <a:lumOff val="5000"/>
                </a:schemeClr>
              </a:solidFill>
            </a:rPr>
            <a:t>customers</a:t>
          </a:r>
        </a:p>
        <a:p>
          <a:endParaRPr lang="en-IN" sz="1600" b="1" i="1">
            <a:solidFill>
              <a:schemeClr val="tx1">
                <a:lumMod val="95000"/>
                <a:lumOff val="5000"/>
              </a:schemeClr>
            </a:solidFill>
          </a:endParaRPr>
        </a:p>
      </xdr:txBody>
    </xdr:sp>
    <xdr:clientData/>
  </xdr:twoCellAnchor>
  <xdr:twoCellAnchor>
    <xdr:from>
      <xdr:col>0</xdr:col>
      <xdr:colOff>91587</xdr:colOff>
      <xdr:row>15</xdr:row>
      <xdr:rowOff>168177</xdr:rowOff>
    </xdr:from>
    <xdr:to>
      <xdr:col>2</xdr:col>
      <xdr:colOff>386611</xdr:colOff>
      <xdr:row>19</xdr:row>
      <xdr:rowOff>138187</xdr:rowOff>
    </xdr:to>
    <xdr:sp macro="" textlink="">
      <xdr:nvSpPr>
        <xdr:cNvPr id="7" name="TextBox 6">
          <a:hlinkClick xmlns:r="http://schemas.openxmlformats.org/officeDocument/2006/relationships" r:id="rId2"/>
          <a:extLst>
            <a:ext uri="{FF2B5EF4-FFF2-40B4-BE49-F238E27FC236}">
              <a16:creationId xmlns:a16="http://schemas.microsoft.com/office/drawing/2014/main" id="{685B6DC7-706E-4C0B-81E6-446C76F583EE}"/>
            </a:ext>
          </a:extLst>
        </xdr:cNvPr>
        <xdr:cNvSpPr txBox="1"/>
      </xdr:nvSpPr>
      <xdr:spPr>
        <a:xfrm>
          <a:off x="91587" y="2915773"/>
          <a:ext cx="1503966" cy="702702"/>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chemeClr val="tx1">
                  <a:lumMod val="95000"/>
                  <a:lumOff val="5000"/>
                </a:schemeClr>
              </a:solidFill>
            </a:rPr>
            <a:t>Products</a:t>
          </a:r>
        </a:p>
      </xdr:txBody>
    </xdr:sp>
    <xdr:clientData/>
  </xdr:twoCellAnchor>
  <xdr:twoCellAnchor>
    <xdr:from>
      <xdr:col>8</xdr:col>
      <xdr:colOff>609393</xdr:colOff>
      <xdr:row>7</xdr:row>
      <xdr:rowOff>24273</xdr:rowOff>
    </xdr:from>
    <xdr:to>
      <xdr:col>12</xdr:col>
      <xdr:colOff>499491</xdr:colOff>
      <xdr:row>11</xdr:row>
      <xdr:rowOff>131686</xdr:rowOff>
    </xdr:to>
    <xdr:sp macro="" textlink="">
      <xdr:nvSpPr>
        <xdr:cNvPr id="8" name="TextBox 7">
          <a:extLst>
            <a:ext uri="{FF2B5EF4-FFF2-40B4-BE49-F238E27FC236}">
              <a16:creationId xmlns:a16="http://schemas.microsoft.com/office/drawing/2014/main" id="{8475D2DB-B724-4871-9A7A-2139B4F80054}"/>
            </a:ext>
          </a:extLst>
        </xdr:cNvPr>
        <xdr:cNvSpPr txBox="1"/>
      </xdr:nvSpPr>
      <xdr:spPr>
        <a:xfrm>
          <a:off x="5520060" y="1357773"/>
          <a:ext cx="2345431" cy="869413"/>
        </a:xfrm>
        <a:prstGeom prst="rect">
          <a:avLst/>
        </a:prstGeom>
        <a:solidFill>
          <a:schemeClr val="tx1">
            <a:lumMod val="50000"/>
            <a:lumOff val="50000"/>
          </a:schemeClr>
        </a:solidFill>
        <a:ln w="9525" cmpd="sng">
          <a:solidFill>
            <a:schemeClr val="lt1">
              <a:shade val="50000"/>
            </a:schemeClr>
          </a:solidFill>
        </a:ln>
        <a:effectLst>
          <a:outerShdw blurRad="63500" sx="102000" sy="102000" algn="ctr" rotWithShape="0">
            <a:prstClr val="black"/>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solidFill>
                <a:srgbClr val="FF9900"/>
              </a:solidFill>
              <a:effectLst/>
              <a:latin typeface="+mn-lt"/>
              <a:ea typeface="+mn-ea"/>
              <a:cs typeface="+mn-cs"/>
            </a:rPr>
            <a:t>Using</a:t>
          </a:r>
          <a:r>
            <a:rPr lang="en-IN" sz="1400" b="1" i="1" baseline="0">
              <a:solidFill>
                <a:srgbClr val="FF9900"/>
              </a:solidFill>
              <a:effectLst/>
              <a:latin typeface="+mn-lt"/>
              <a:ea typeface="+mn-ea"/>
              <a:cs typeface="+mn-cs"/>
            </a:rPr>
            <a:t> </a:t>
          </a:r>
          <a:r>
            <a:rPr lang="en-IN" sz="1400" b="1" i="1">
              <a:solidFill>
                <a:srgbClr val="FF9900"/>
              </a:solidFill>
              <a:effectLst/>
              <a:latin typeface="+mn-lt"/>
              <a:ea typeface="+mn-ea"/>
              <a:cs typeface="+mn-cs"/>
            </a:rPr>
            <a:t>HLOOKUP :</a:t>
          </a:r>
          <a:endParaRPr lang="en-IN" sz="1400" b="1" i="1">
            <a:solidFill>
              <a:srgbClr val="FF9900"/>
            </a:solidFill>
            <a:effectLst/>
          </a:endParaRPr>
        </a:p>
        <a:p>
          <a:pPr algn="ctr"/>
          <a:r>
            <a:rPr lang="en-IN" sz="2400" b="1" i="1">
              <a:solidFill>
                <a:srgbClr val="FFFFFF"/>
              </a:solidFill>
              <a:effectLst/>
              <a:latin typeface="+mn-lt"/>
              <a:ea typeface="+mn-ea"/>
              <a:cs typeface="+mn-cs"/>
            </a:rPr>
            <a:t>Consumer </a:t>
          </a:r>
          <a:endParaRPr lang="en-IN" sz="2400">
            <a:solidFill>
              <a:srgbClr val="FFFFFF"/>
            </a:solidFill>
            <a:effectLst/>
          </a:endParaRPr>
        </a:p>
        <a:p>
          <a:endParaRPr lang="en-IN" sz="1100"/>
        </a:p>
      </xdr:txBody>
    </xdr:sp>
    <xdr:clientData/>
  </xdr:twoCellAnchor>
  <xdr:twoCellAnchor>
    <xdr:from>
      <xdr:col>0</xdr:col>
      <xdr:colOff>116159</xdr:colOff>
      <xdr:row>20</xdr:row>
      <xdr:rowOff>136455</xdr:rowOff>
    </xdr:from>
    <xdr:to>
      <xdr:col>2</xdr:col>
      <xdr:colOff>380759</xdr:colOff>
      <xdr:row>25</xdr:row>
      <xdr:rowOff>53575</xdr:rowOff>
    </xdr:to>
    <xdr:sp macro="" textlink="">
      <xdr:nvSpPr>
        <xdr:cNvPr id="9" name="TextBox 8">
          <a:hlinkClick xmlns:r="http://schemas.openxmlformats.org/officeDocument/2006/relationships" r:id="rId3"/>
          <a:extLst>
            <a:ext uri="{FF2B5EF4-FFF2-40B4-BE49-F238E27FC236}">
              <a16:creationId xmlns:a16="http://schemas.microsoft.com/office/drawing/2014/main" id="{D2E6810B-B7A1-4736-A67F-2D8DA70745BF}"/>
            </a:ext>
          </a:extLst>
        </xdr:cNvPr>
        <xdr:cNvSpPr txBox="1"/>
      </xdr:nvSpPr>
      <xdr:spPr>
        <a:xfrm>
          <a:off x="116159" y="3799917"/>
          <a:ext cx="1473542" cy="83298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orders</a:t>
          </a:r>
        </a:p>
      </xdr:txBody>
    </xdr:sp>
    <xdr:clientData/>
  </xdr:twoCellAnchor>
  <xdr:twoCellAnchor>
    <xdr:from>
      <xdr:col>0</xdr:col>
      <xdr:colOff>120530</xdr:colOff>
      <xdr:row>25</xdr:row>
      <xdr:rowOff>157955</xdr:rowOff>
    </xdr:from>
    <xdr:to>
      <xdr:col>2</xdr:col>
      <xdr:colOff>352219</xdr:colOff>
      <xdr:row>30</xdr:row>
      <xdr:rowOff>75074</xdr:rowOff>
    </xdr:to>
    <xdr:sp macro="" textlink="">
      <xdr:nvSpPr>
        <xdr:cNvPr id="10" name="TextBox 9">
          <a:hlinkClick xmlns:r="http://schemas.openxmlformats.org/officeDocument/2006/relationships" r:id="rId4"/>
          <a:extLst>
            <a:ext uri="{FF2B5EF4-FFF2-40B4-BE49-F238E27FC236}">
              <a16:creationId xmlns:a16="http://schemas.microsoft.com/office/drawing/2014/main" id="{86267E8C-F942-4A17-9891-2BED464396A3}"/>
            </a:ext>
          </a:extLst>
        </xdr:cNvPr>
        <xdr:cNvSpPr txBox="1"/>
      </xdr:nvSpPr>
      <xdr:spPr>
        <a:xfrm>
          <a:off x="120530" y="4737282"/>
          <a:ext cx="1440631" cy="832984"/>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Inventory</a:t>
          </a:r>
        </a:p>
      </xdr:txBody>
    </xdr:sp>
    <xdr:clientData/>
  </xdr:twoCellAnchor>
  <xdr:twoCellAnchor>
    <xdr:from>
      <xdr:col>0</xdr:col>
      <xdr:colOff>105393</xdr:colOff>
      <xdr:row>31</xdr:row>
      <xdr:rowOff>59719</xdr:rowOff>
    </xdr:from>
    <xdr:to>
      <xdr:col>2</xdr:col>
      <xdr:colOff>337082</xdr:colOff>
      <xdr:row>35</xdr:row>
      <xdr:rowOff>162692</xdr:rowOff>
    </xdr:to>
    <xdr:sp macro="" textlink="">
      <xdr:nvSpPr>
        <xdr:cNvPr id="11" name="TextBox 10">
          <a:hlinkClick xmlns:r="http://schemas.openxmlformats.org/officeDocument/2006/relationships" r:id="rId5"/>
          <a:extLst>
            <a:ext uri="{FF2B5EF4-FFF2-40B4-BE49-F238E27FC236}">
              <a16:creationId xmlns:a16="http://schemas.microsoft.com/office/drawing/2014/main" id="{9819A22A-5DE9-47AB-8039-A14DB6585D48}"/>
            </a:ext>
          </a:extLst>
        </xdr:cNvPr>
        <xdr:cNvSpPr txBox="1"/>
      </xdr:nvSpPr>
      <xdr:spPr>
        <a:xfrm>
          <a:off x="105393" y="5738084"/>
          <a:ext cx="1440631" cy="83566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Sales</a:t>
          </a:r>
        </a:p>
      </xdr:txBody>
    </xdr:sp>
    <xdr:clientData/>
  </xdr:twoCellAnchor>
  <xdr:twoCellAnchor>
    <xdr:from>
      <xdr:col>12</xdr:col>
      <xdr:colOff>219807</xdr:colOff>
      <xdr:row>1</xdr:row>
      <xdr:rowOff>0</xdr:rowOff>
    </xdr:from>
    <xdr:to>
      <xdr:col>19</xdr:col>
      <xdr:colOff>128220</xdr:colOff>
      <xdr:row>5</xdr:row>
      <xdr:rowOff>102974</xdr:rowOff>
    </xdr:to>
    <xdr:sp macro="" textlink="">
      <xdr:nvSpPr>
        <xdr:cNvPr id="12" name="TextBox 11">
          <a:extLst>
            <a:ext uri="{FF2B5EF4-FFF2-40B4-BE49-F238E27FC236}">
              <a16:creationId xmlns:a16="http://schemas.microsoft.com/office/drawing/2014/main" id="{BE168DE6-D5B2-423E-B30E-C46FDA1269E2}"/>
            </a:ext>
          </a:extLst>
        </xdr:cNvPr>
        <xdr:cNvSpPr txBox="1"/>
      </xdr:nvSpPr>
      <xdr:spPr>
        <a:xfrm>
          <a:off x="7473461" y="183173"/>
          <a:ext cx="4139711" cy="835666"/>
        </a:xfrm>
        <a:prstGeom prst="rect">
          <a:avLst/>
        </a:prstGeom>
        <a:solidFill>
          <a:schemeClr val="tx1">
            <a:lumMod val="50000"/>
            <a:lumOff val="50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1" i="1">
              <a:solidFill>
                <a:schemeClr val="dk1"/>
              </a:solidFill>
              <a:effectLst>
                <a:outerShdw blurRad="50800" dist="38100" dir="10800000" algn="r" rotWithShape="0">
                  <a:prstClr val="black">
                    <a:alpha val="40000"/>
                  </a:prstClr>
                </a:outerShdw>
              </a:effectLst>
              <a:latin typeface="+mn-lt"/>
              <a:ea typeface="+mn-ea"/>
              <a:cs typeface="+mn-cs"/>
            </a:rPr>
            <a:t>CUSTOMERS</a:t>
          </a:r>
          <a:endParaRPr lang="en-IN" sz="3200">
            <a:effectLst>
              <a:outerShdw blurRad="50800" dist="38100" dir="10800000" algn="r" rotWithShape="0">
                <a:prstClr val="black">
                  <a:alpha val="40000"/>
                </a:prstClr>
              </a:outerShdw>
            </a:effectLst>
          </a:endParaRPr>
        </a:p>
        <a:p>
          <a:endParaRPr lang="en-IN" sz="1100"/>
        </a:p>
      </xdr:txBody>
    </xdr:sp>
    <xdr:clientData/>
  </xdr:twoCellAnchor>
  <xdr:twoCellAnchor>
    <xdr:from>
      <xdr:col>13</xdr:col>
      <xdr:colOff>437174</xdr:colOff>
      <xdr:row>7</xdr:row>
      <xdr:rowOff>52917</xdr:rowOff>
    </xdr:from>
    <xdr:to>
      <xdr:col>17</xdr:col>
      <xdr:colOff>327269</xdr:colOff>
      <xdr:row>12</xdr:row>
      <xdr:rowOff>8128</xdr:rowOff>
    </xdr:to>
    <xdr:sp macro="" textlink="">
      <xdr:nvSpPr>
        <xdr:cNvPr id="17" name="TextBox 16">
          <a:extLst>
            <a:ext uri="{FF2B5EF4-FFF2-40B4-BE49-F238E27FC236}">
              <a16:creationId xmlns:a16="http://schemas.microsoft.com/office/drawing/2014/main" id="{D66BAE91-3347-4CDA-954C-A1586A30C0F1}"/>
            </a:ext>
          </a:extLst>
        </xdr:cNvPr>
        <xdr:cNvSpPr txBox="1"/>
      </xdr:nvSpPr>
      <xdr:spPr>
        <a:xfrm>
          <a:off x="8417007" y="1386417"/>
          <a:ext cx="2345429" cy="907711"/>
        </a:xfrm>
        <a:prstGeom prst="rect">
          <a:avLst/>
        </a:prstGeom>
        <a:solidFill>
          <a:schemeClr val="tx1">
            <a:lumMod val="50000"/>
            <a:lumOff val="50000"/>
          </a:schemeClr>
        </a:solidFill>
        <a:ln w="9525" cmpd="sng">
          <a:solidFill>
            <a:schemeClr val="lt1">
              <a:shade val="50000"/>
            </a:schemeClr>
          </a:solidFill>
        </a:ln>
        <a:effectLst>
          <a:outerShdw blurRad="63500" sx="102000" sy="102000" algn="ctr" rotWithShape="0">
            <a:schemeClr val="tx1">
              <a:lumMod val="95000"/>
              <a:lumOff val="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rgbClr val="FF9900"/>
              </a:solidFill>
              <a:effectLst/>
              <a:latin typeface="+mn-lt"/>
              <a:ea typeface="+mn-ea"/>
              <a:cs typeface="+mn-cs"/>
            </a:rPr>
            <a:t>Using VLOOKUP:</a:t>
          </a:r>
          <a:endParaRPr lang="en-IN" sz="1600" b="1" i="1">
            <a:solidFill>
              <a:srgbClr val="FF9900"/>
            </a:solidFill>
            <a:effectLst/>
          </a:endParaRPr>
        </a:p>
        <a:p>
          <a:pPr algn="ctr"/>
          <a:r>
            <a:rPr lang="en-IN" sz="2400" b="1" i="1">
              <a:solidFill>
                <a:srgbClr val="FFFFFF"/>
              </a:solidFill>
              <a:effectLst/>
              <a:latin typeface="+mn-lt"/>
              <a:ea typeface="+mn-ea"/>
              <a:cs typeface="+mn-cs"/>
            </a:rPr>
            <a:t>Raleigh </a:t>
          </a:r>
          <a:endParaRPr lang="en-IN" sz="2400">
            <a:solidFill>
              <a:srgbClr val="FFFFFF"/>
            </a:solidFill>
            <a:effectLst/>
          </a:endParaRPr>
        </a:p>
        <a:p>
          <a:endParaRPr lang="en-IN" sz="1100"/>
        </a:p>
      </xdr:txBody>
    </xdr:sp>
    <xdr:clientData/>
  </xdr:twoCellAnchor>
  <xdr:twoCellAnchor editAs="oneCell">
    <xdr:from>
      <xdr:col>3</xdr:col>
      <xdr:colOff>169333</xdr:colOff>
      <xdr:row>5</xdr:row>
      <xdr:rowOff>42333</xdr:rowOff>
    </xdr:from>
    <xdr:to>
      <xdr:col>6</xdr:col>
      <xdr:colOff>275166</xdr:colOff>
      <xdr:row>21</xdr:row>
      <xdr:rowOff>63500</xdr:rowOff>
    </xdr:to>
    <mc:AlternateContent xmlns:mc="http://schemas.openxmlformats.org/markup-compatibility/2006">
      <mc:Choice xmlns:a14="http://schemas.microsoft.com/office/drawing/2010/main" Requires="a14">
        <xdr:graphicFrame macro="">
          <xdr:nvGraphicFramePr>
            <xdr:cNvPr id="21" name="State 1">
              <a:extLst>
                <a:ext uri="{FF2B5EF4-FFF2-40B4-BE49-F238E27FC236}">
                  <a16:creationId xmlns:a16="http://schemas.microsoft.com/office/drawing/2014/main" id="{4C1D2B73-9314-444C-9A7A-3C0A042E7A2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010833" y="994833"/>
              <a:ext cx="1947333" cy="3069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180397</xdr:colOff>
      <xdr:row>22</xdr:row>
      <xdr:rowOff>5773</xdr:rowOff>
    </xdr:from>
    <xdr:to>
      <xdr:col>6</xdr:col>
      <xdr:colOff>296332</xdr:colOff>
      <xdr:row>37</xdr:row>
      <xdr:rowOff>42333</xdr:rowOff>
    </xdr:to>
    <mc:AlternateContent xmlns:mc="http://schemas.openxmlformats.org/markup-compatibility/2006">
      <mc:Choice xmlns:a14="http://schemas.microsoft.com/office/drawing/2010/main" Requires="a14">
        <xdr:graphicFrame macro="">
          <xdr:nvGraphicFramePr>
            <xdr:cNvPr id="22" name="Segment 1">
              <a:extLst>
                <a:ext uri="{FF2B5EF4-FFF2-40B4-BE49-F238E27FC236}">
                  <a16:creationId xmlns:a16="http://schemas.microsoft.com/office/drawing/2014/main" id="{B030A82A-F318-4A29-9821-E3232F94986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021897" y="4196773"/>
              <a:ext cx="1957435" cy="2894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550334</xdr:colOff>
      <xdr:row>14</xdr:row>
      <xdr:rowOff>21167</xdr:rowOff>
    </xdr:from>
    <xdr:to>
      <xdr:col>17</xdr:col>
      <xdr:colOff>486833</xdr:colOff>
      <xdr:row>36</xdr:row>
      <xdr:rowOff>160867</xdr:rowOff>
    </xdr:to>
    <xdr:graphicFrame macro="">
      <xdr:nvGraphicFramePr>
        <xdr:cNvPr id="23" name="Chart 22">
          <a:extLst>
            <a:ext uri="{FF2B5EF4-FFF2-40B4-BE49-F238E27FC236}">
              <a16:creationId xmlns:a16="http://schemas.microsoft.com/office/drawing/2014/main" id="{848ECB30-EA79-462C-BD44-7716CD3AC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116897</xdr:colOff>
      <xdr:row>22</xdr:row>
      <xdr:rowOff>90440</xdr:rowOff>
    </xdr:from>
    <xdr:to>
      <xdr:col>27</xdr:col>
      <xdr:colOff>550332</xdr:colOff>
      <xdr:row>36</xdr:row>
      <xdr:rowOff>166640</xdr:rowOff>
    </xdr:to>
    <xdr:graphicFrame macro="">
      <xdr:nvGraphicFramePr>
        <xdr:cNvPr id="24" name="Chart 23">
          <a:extLst>
            <a:ext uri="{FF2B5EF4-FFF2-40B4-BE49-F238E27FC236}">
              <a16:creationId xmlns:a16="http://schemas.microsoft.com/office/drawing/2014/main" id="{5BE0F336-A346-4262-B2CE-F4A403D6E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95730</xdr:colOff>
      <xdr:row>7</xdr:row>
      <xdr:rowOff>5773</xdr:rowOff>
    </xdr:from>
    <xdr:to>
      <xdr:col>27</xdr:col>
      <xdr:colOff>571499</xdr:colOff>
      <xdr:row>21</xdr:row>
      <xdr:rowOff>81973</xdr:rowOff>
    </xdr:to>
    <xdr:graphicFrame macro="">
      <xdr:nvGraphicFramePr>
        <xdr:cNvPr id="25" name="Chart 24">
          <a:extLst>
            <a:ext uri="{FF2B5EF4-FFF2-40B4-BE49-F238E27FC236}">
              <a16:creationId xmlns:a16="http://schemas.microsoft.com/office/drawing/2014/main" id="{A155C61C-38F2-4DA4-A189-01FB05547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39</xdr:row>
      <xdr:rowOff>42906</xdr:rowOff>
    </xdr:to>
    <xdr:sp macro="" textlink="">
      <xdr:nvSpPr>
        <xdr:cNvPr id="2" name="Rectangle 1">
          <a:extLst>
            <a:ext uri="{FF2B5EF4-FFF2-40B4-BE49-F238E27FC236}">
              <a16:creationId xmlns:a16="http://schemas.microsoft.com/office/drawing/2014/main" id="{BDF53DF3-CA94-416C-A5C2-DCC25F829FAA}"/>
            </a:ext>
          </a:extLst>
        </xdr:cNvPr>
        <xdr:cNvSpPr/>
      </xdr:nvSpPr>
      <xdr:spPr>
        <a:xfrm>
          <a:off x="0" y="0"/>
          <a:ext cx="17678400" cy="747240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492125</xdr:colOff>
      <xdr:row>0</xdr:row>
      <xdr:rowOff>69273</xdr:rowOff>
    </xdr:from>
    <xdr:to>
      <xdr:col>28</xdr:col>
      <xdr:colOff>558681</xdr:colOff>
      <xdr:row>38</xdr:row>
      <xdr:rowOff>154460</xdr:rowOff>
    </xdr:to>
    <xdr:sp macro="" textlink="">
      <xdr:nvSpPr>
        <xdr:cNvPr id="3" name="Rectangle 2">
          <a:extLst>
            <a:ext uri="{FF2B5EF4-FFF2-40B4-BE49-F238E27FC236}">
              <a16:creationId xmlns:a16="http://schemas.microsoft.com/office/drawing/2014/main" id="{080C1C72-62FE-4172-B3CC-95BF940E611D}"/>
            </a:ext>
          </a:extLst>
        </xdr:cNvPr>
        <xdr:cNvSpPr/>
      </xdr:nvSpPr>
      <xdr:spPr>
        <a:xfrm>
          <a:off x="1711325" y="69273"/>
          <a:ext cx="15916156" cy="7324187"/>
        </a:xfrm>
        <a:prstGeom prst="rect">
          <a:avLst/>
        </a:prstGeom>
        <a:solidFill>
          <a:schemeClr val="bg1">
            <a:lumMod val="95000"/>
          </a:schemeClr>
        </a:solidFill>
        <a:effectLst>
          <a:glow rad="63500">
            <a:schemeClr val="accent4">
              <a:satMod val="175000"/>
              <a:alpha val="40000"/>
            </a:schemeClr>
          </a:glow>
          <a:outerShdw blurRad="50800" dist="38100" dir="8100000" algn="tr" rotWithShape="0">
            <a:prstClr val="black">
              <a:alpha val="40000"/>
            </a:prstClr>
          </a:outerShdw>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i="1">
            <a:solidFill>
              <a:srgbClr val="CC00CC"/>
            </a:solidFill>
          </a:endParaRPr>
        </a:p>
      </xdr:txBody>
    </xdr:sp>
    <xdr:clientData/>
  </xdr:twoCellAnchor>
  <xdr:twoCellAnchor>
    <xdr:from>
      <xdr:col>0</xdr:col>
      <xdr:colOff>73859</xdr:colOff>
      <xdr:row>11</xdr:row>
      <xdr:rowOff>82721</xdr:rowOff>
    </xdr:from>
    <xdr:to>
      <xdr:col>2</xdr:col>
      <xdr:colOff>371756</xdr:colOff>
      <xdr:row>15</xdr:row>
      <xdr:rowOff>54232</xdr:rowOff>
    </xdr:to>
    <xdr:sp macro="" textlink="">
      <xdr:nvSpPr>
        <xdr:cNvPr id="4" name="TextBox 3">
          <a:hlinkClick xmlns:r="http://schemas.openxmlformats.org/officeDocument/2006/relationships" r:id="rId1"/>
          <a:extLst>
            <a:ext uri="{FF2B5EF4-FFF2-40B4-BE49-F238E27FC236}">
              <a16:creationId xmlns:a16="http://schemas.microsoft.com/office/drawing/2014/main" id="{B995002A-25F8-4575-A3E1-B7DA224D7188}"/>
            </a:ext>
          </a:extLst>
        </xdr:cNvPr>
        <xdr:cNvSpPr txBox="1"/>
      </xdr:nvSpPr>
      <xdr:spPr>
        <a:xfrm>
          <a:off x="73859" y="2178221"/>
          <a:ext cx="1517097" cy="73351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chemeClr val="tx1">
                  <a:lumMod val="95000"/>
                  <a:lumOff val="5000"/>
                </a:schemeClr>
              </a:solidFill>
            </a:rPr>
            <a:t>customers</a:t>
          </a:r>
        </a:p>
        <a:p>
          <a:endParaRPr lang="en-IN" sz="1600" b="1" i="1">
            <a:solidFill>
              <a:schemeClr val="tx1">
                <a:lumMod val="95000"/>
                <a:lumOff val="5000"/>
              </a:schemeClr>
            </a:solidFill>
          </a:endParaRPr>
        </a:p>
      </xdr:txBody>
    </xdr:sp>
    <xdr:clientData/>
  </xdr:twoCellAnchor>
  <xdr:twoCellAnchor>
    <xdr:from>
      <xdr:col>0</xdr:col>
      <xdr:colOff>91587</xdr:colOff>
      <xdr:row>15</xdr:row>
      <xdr:rowOff>168177</xdr:rowOff>
    </xdr:from>
    <xdr:to>
      <xdr:col>2</xdr:col>
      <xdr:colOff>386611</xdr:colOff>
      <xdr:row>19</xdr:row>
      <xdr:rowOff>138187</xdr:rowOff>
    </xdr:to>
    <xdr:sp macro="" textlink="">
      <xdr:nvSpPr>
        <xdr:cNvPr id="5" name="TextBox 4">
          <a:extLst>
            <a:ext uri="{FF2B5EF4-FFF2-40B4-BE49-F238E27FC236}">
              <a16:creationId xmlns:a16="http://schemas.microsoft.com/office/drawing/2014/main" id="{71169417-80DF-4946-96A4-429AAC221E9F}"/>
            </a:ext>
          </a:extLst>
        </xdr:cNvPr>
        <xdr:cNvSpPr txBox="1"/>
      </xdr:nvSpPr>
      <xdr:spPr>
        <a:xfrm>
          <a:off x="91587" y="3025677"/>
          <a:ext cx="1514224" cy="73201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chemeClr val="tx1">
                  <a:lumMod val="95000"/>
                  <a:lumOff val="5000"/>
                </a:schemeClr>
              </a:solidFill>
            </a:rPr>
            <a:t>Products</a:t>
          </a:r>
        </a:p>
      </xdr:txBody>
    </xdr:sp>
    <xdr:clientData/>
  </xdr:twoCellAnchor>
  <xdr:twoCellAnchor>
    <xdr:from>
      <xdr:col>6</xdr:col>
      <xdr:colOff>571500</xdr:colOff>
      <xdr:row>10</xdr:row>
      <xdr:rowOff>84667</xdr:rowOff>
    </xdr:from>
    <xdr:to>
      <xdr:col>12</xdr:col>
      <xdr:colOff>423333</xdr:colOff>
      <xdr:row>16</xdr:row>
      <xdr:rowOff>47021</xdr:rowOff>
    </xdr:to>
    <xdr:sp macro="" textlink="">
      <xdr:nvSpPr>
        <xdr:cNvPr id="6" name="TextBox 5">
          <a:extLst>
            <a:ext uri="{FF2B5EF4-FFF2-40B4-BE49-F238E27FC236}">
              <a16:creationId xmlns:a16="http://schemas.microsoft.com/office/drawing/2014/main" id="{DFFB7B49-DC11-467D-85F6-4310DC15B27D}"/>
            </a:ext>
          </a:extLst>
        </xdr:cNvPr>
        <xdr:cNvSpPr txBox="1"/>
      </xdr:nvSpPr>
      <xdr:spPr>
        <a:xfrm>
          <a:off x="4254500" y="1989667"/>
          <a:ext cx="3534833" cy="1105354"/>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CC00CC"/>
              </a:solidFill>
              <a:effectLst/>
              <a:latin typeface="+mn-lt"/>
              <a:ea typeface="+mn-ea"/>
              <a:cs typeface="+mn-cs"/>
            </a:rPr>
            <a:t>HLOOKUP</a:t>
          </a:r>
          <a:r>
            <a:rPr lang="en-IN" sz="1800" b="1" i="1" baseline="0">
              <a:solidFill>
                <a:srgbClr val="CC00CC"/>
              </a:solidFill>
              <a:effectLst/>
              <a:latin typeface="+mn-lt"/>
              <a:ea typeface="+mn-ea"/>
              <a:cs typeface="+mn-cs"/>
            </a:rPr>
            <a:t> to find category:</a:t>
          </a:r>
          <a:endParaRPr lang="en-IN" sz="1800" b="1" i="1">
            <a:solidFill>
              <a:srgbClr val="CC00CC"/>
            </a:solidFill>
            <a:effectLst/>
          </a:endParaRPr>
        </a:p>
        <a:p>
          <a:pPr algn="ctr"/>
          <a:r>
            <a:rPr lang="en-IN" sz="2600" b="1" i="1">
              <a:solidFill>
                <a:srgbClr val="660066"/>
              </a:solidFill>
              <a:effectLst/>
              <a:latin typeface="+mn-lt"/>
              <a:ea typeface="+mn-ea"/>
              <a:cs typeface="+mn-cs"/>
            </a:rPr>
            <a:t>Furniture</a:t>
          </a:r>
          <a:r>
            <a:rPr lang="en-IN" sz="1100" b="1" i="1">
              <a:solidFill>
                <a:schemeClr val="dk1"/>
              </a:solidFill>
              <a:effectLst/>
              <a:latin typeface="+mn-lt"/>
              <a:ea typeface="+mn-ea"/>
              <a:cs typeface="+mn-cs"/>
            </a:rPr>
            <a:t> </a:t>
          </a:r>
          <a:endParaRPr lang="en-IN">
            <a:effectLst/>
          </a:endParaRPr>
        </a:p>
        <a:p>
          <a:endParaRPr lang="en-IN" sz="1100"/>
        </a:p>
      </xdr:txBody>
    </xdr:sp>
    <xdr:clientData/>
  </xdr:twoCellAnchor>
  <xdr:twoCellAnchor>
    <xdr:from>
      <xdr:col>0</xdr:col>
      <xdr:colOff>116159</xdr:colOff>
      <xdr:row>20</xdr:row>
      <xdr:rowOff>136455</xdr:rowOff>
    </xdr:from>
    <xdr:to>
      <xdr:col>2</xdr:col>
      <xdr:colOff>380759</xdr:colOff>
      <xdr:row>25</xdr:row>
      <xdr:rowOff>53575</xdr:rowOff>
    </xdr:to>
    <xdr:sp macro="" textlink="">
      <xdr:nvSpPr>
        <xdr:cNvPr id="7" name="TextBox 6">
          <a:hlinkClick xmlns:r="http://schemas.openxmlformats.org/officeDocument/2006/relationships" r:id="rId2"/>
          <a:extLst>
            <a:ext uri="{FF2B5EF4-FFF2-40B4-BE49-F238E27FC236}">
              <a16:creationId xmlns:a16="http://schemas.microsoft.com/office/drawing/2014/main" id="{87183C38-32EF-4774-B0E9-F3F7E27C6B7A}"/>
            </a:ext>
          </a:extLst>
        </xdr:cNvPr>
        <xdr:cNvSpPr txBox="1"/>
      </xdr:nvSpPr>
      <xdr:spPr>
        <a:xfrm>
          <a:off x="116159" y="3946455"/>
          <a:ext cx="1483800" cy="8696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orders</a:t>
          </a:r>
        </a:p>
      </xdr:txBody>
    </xdr:sp>
    <xdr:clientData/>
  </xdr:twoCellAnchor>
  <xdr:twoCellAnchor>
    <xdr:from>
      <xdr:col>0</xdr:col>
      <xdr:colOff>120530</xdr:colOff>
      <xdr:row>25</xdr:row>
      <xdr:rowOff>157955</xdr:rowOff>
    </xdr:from>
    <xdr:to>
      <xdr:col>2</xdr:col>
      <xdr:colOff>352219</xdr:colOff>
      <xdr:row>30</xdr:row>
      <xdr:rowOff>75074</xdr:rowOff>
    </xdr:to>
    <xdr:sp macro="" textlink="">
      <xdr:nvSpPr>
        <xdr:cNvPr id="8" name="TextBox 7">
          <a:hlinkClick xmlns:r="http://schemas.openxmlformats.org/officeDocument/2006/relationships" r:id="rId3"/>
          <a:extLst>
            <a:ext uri="{FF2B5EF4-FFF2-40B4-BE49-F238E27FC236}">
              <a16:creationId xmlns:a16="http://schemas.microsoft.com/office/drawing/2014/main" id="{9C8A3D17-2CAB-4705-B8D0-99C73E7DEECF}"/>
            </a:ext>
          </a:extLst>
        </xdr:cNvPr>
        <xdr:cNvSpPr txBox="1"/>
      </xdr:nvSpPr>
      <xdr:spPr>
        <a:xfrm>
          <a:off x="120530" y="4920455"/>
          <a:ext cx="1450889" cy="86961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Inventory</a:t>
          </a:r>
        </a:p>
      </xdr:txBody>
    </xdr:sp>
    <xdr:clientData/>
  </xdr:twoCellAnchor>
  <xdr:twoCellAnchor>
    <xdr:from>
      <xdr:col>0</xdr:col>
      <xdr:colOff>105393</xdr:colOff>
      <xdr:row>31</xdr:row>
      <xdr:rowOff>59719</xdr:rowOff>
    </xdr:from>
    <xdr:to>
      <xdr:col>2</xdr:col>
      <xdr:colOff>337082</xdr:colOff>
      <xdr:row>35</xdr:row>
      <xdr:rowOff>162692</xdr:rowOff>
    </xdr:to>
    <xdr:sp macro="" textlink="">
      <xdr:nvSpPr>
        <xdr:cNvPr id="9" name="TextBox 8">
          <a:hlinkClick xmlns:r="http://schemas.openxmlformats.org/officeDocument/2006/relationships" r:id="rId4"/>
          <a:extLst>
            <a:ext uri="{FF2B5EF4-FFF2-40B4-BE49-F238E27FC236}">
              <a16:creationId xmlns:a16="http://schemas.microsoft.com/office/drawing/2014/main" id="{37579025-5717-4D7A-ACA8-B8CB5809894A}"/>
            </a:ext>
          </a:extLst>
        </xdr:cNvPr>
        <xdr:cNvSpPr txBox="1"/>
      </xdr:nvSpPr>
      <xdr:spPr>
        <a:xfrm>
          <a:off x="105393" y="5965219"/>
          <a:ext cx="1450889" cy="86497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Sales</a:t>
          </a:r>
        </a:p>
      </xdr:txBody>
    </xdr:sp>
    <xdr:clientData/>
  </xdr:twoCellAnchor>
  <xdr:twoCellAnchor>
    <xdr:from>
      <xdr:col>12</xdr:col>
      <xdr:colOff>219807</xdr:colOff>
      <xdr:row>1</xdr:row>
      <xdr:rowOff>0</xdr:rowOff>
    </xdr:from>
    <xdr:to>
      <xdr:col>19</xdr:col>
      <xdr:colOff>128220</xdr:colOff>
      <xdr:row>5</xdr:row>
      <xdr:rowOff>102974</xdr:rowOff>
    </xdr:to>
    <xdr:sp macro="" textlink="">
      <xdr:nvSpPr>
        <xdr:cNvPr id="10" name="TextBox 9">
          <a:extLst>
            <a:ext uri="{FF2B5EF4-FFF2-40B4-BE49-F238E27FC236}">
              <a16:creationId xmlns:a16="http://schemas.microsoft.com/office/drawing/2014/main" id="{284416B8-D88D-43B3-92B1-D5903AC6A14F}"/>
            </a:ext>
          </a:extLst>
        </xdr:cNvPr>
        <xdr:cNvSpPr txBox="1"/>
      </xdr:nvSpPr>
      <xdr:spPr>
        <a:xfrm>
          <a:off x="7535007" y="190500"/>
          <a:ext cx="4175613" cy="864974"/>
        </a:xfrm>
        <a:prstGeom prst="rect">
          <a:avLst/>
        </a:prstGeom>
        <a:solidFill>
          <a:schemeClr val="bg1">
            <a:lumMod val="95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1" i="1">
              <a:solidFill>
                <a:schemeClr val="dk1"/>
              </a:solidFill>
              <a:effectLst>
                <a:outerShdw blurRad="50800" dist="38100" dir="10800000" algn="r" rotWithShape="0">
                  <a:prstClr val="black">
                    <a:alpha val="40000"/>
                  </a:prstClr>
                </a:outerShdw>
              </a:effectLst>
              <a:latin typeface="+mn-lt"/>
              <a:ea typeface="+mn-ea"/>
              <a:cs typeface="+mn-cs"/>
            </a:rPr>
            <a:t>PRODUCTS</a:t>
          </a:r>
          <a:endParaRPr lang="en-IN" sz="1100"/>
        </a:p>
      </xdr:txBody>
    </xdr:sp>
    <xdr:clientData/>
  </xdr:twoCellAnchor>
  <xdr:twoCellAnchor>
    <xdr:from>
      <xdr:col>13</xdr:col>
      <xdr:colOff>13841</xdr:colOff>
      <xdr:row>10</xdr:row>
      <xdr:rowOff>127000</xdr:rowOff>
    </xdr:from>
    <xdr:to>
      <xdr:col>18</xdr:col>
      <xdr:colOff>105833</xdr:colOff>
      <xdr:row>16</xdr:row>
      <xdr:rowOff>63500</xdr:rowOff>
    </xdr:to>
    <xdr:sp macro="" textlink="">
      <xdr:nvSpPr>
        <xdr:cNvPr id="13" name="TextBox 12">
          <a:extLst>
            <a:ext uri="{FF2B5EF4-FFF2-40B4-BE49-F238E27FC236}">
              <a16:creationId xmlns:a16="http://schemas.microsoft.com/office/drawing/2014/main" id="{40270B43-D2F1-4F7F-B0B3-7E093133A4A3}"/>
            </a:ext>
          </a:extLst>
        </xdr:cNvPr>
        <xdr:cNvSpPr txBox="1"/>
      </xdr:nvSpPr>
      <xdr:spPr>
        <a:xfrm>
          <a:off x="7993674" y="2032000"/>
          <a:ext cx="3161159" cy="1079500"/>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CC00CC"/>
              </a:solidFill>
              <a:effectLst/>
              <a:latin typeface="+mn-lt"/>
              <a:ea typeface="+mn-ea"/>
              <a:cs typeface="+mn-cs"/>
            </a:rPr>
            <a:t>VLOOKUP to find cost_price:</a:t>
          </a:r>
          <a:endParaRPr lang="en-IN" sz="1800">
            <a:solidFill>
              <a:srgbClr val="CC00CC"/>
            </a:solidFill>
            <a:effectLst/>
          </a:endParaRPr>
        </a:p>
        <a:p>
          <a:pPr algn="ctr"/>
          <a:r>
            <a:rPr lang="en-IN" sz="2600" b="1" i="0">
              <a:solidFill>
                <a:srgbClr val="660066"/>
              </a:solidFill>
              <a:effectLst/>
              <a:latin typeface="+mn-lt"/>
              <a:ea typeface="+mn-ea"/>
              <a:cs typeface="+mn-cs"/>
            </a:rPr>
            <a:t>$1.50 </a:t>
          </a:r>
          <a:r>
            <a:rPr lang="en-IN" sz="2600" b="1">
              <a:solidFill>
                <a:srgbClr val="660066"/>
              </a:solidFill>
              <a:effectLst/>
              <a:latin typeface="+mn-lt"/>
              <a:ea typeface="+mn-ea"/>
              <a:cs typeface="+mn-cs"/>
            </a:rPr>
            <a:t> </a:t>
          </a:r>
          <a:endParaRPr lang="en-IN" sz="2600">
            <a:solidFill>
              <a:srgbClr val="660066"/>
            </a:solidFill>
            <a:effectLst/>
          </a:endParaRPr>
        </a:p>
        <a:p>
          <a:endParaRPr lang="en-IN" sz="1100"/>
        </a:p>
      </xdr:txBody>
    </xdr:sp>
    <xdr:clientData/>
  </xdr:twoCellAnchor>
  <xdr:twoCellAnchor>
    <xdr:from>
      <xdr:col>6</xdr:col>
      <xdr:colOff>571499</xdr:colOff>
      <xdr:row>18</xdr:row>
      <xdr:rowOff>42334</xdr:rowOff>
    </xdr:from>
    <xdr:to>
      <xdr:col>18</xdr:col>
      <xdr:colOff>169333</xdr:colOff>
      <xdr:row>37</xdr:row>
      <xdr:rowOff>84667</xdr:rowOff>
    </xdr:to>
    <xdr:graphicFrame macro="">
      <xdr:nvGraphicFramePr>
        <xdr:cNvPr id="23" name="Chart 22">
          <a:extLst>
            <a:ext uri="{FF2B5EF4-FFF2-40B4-BE49-F238E27FC236}">
              <a16:creationId xmlns:a16="http://schemas.microsoft.com/office/drawing/2014/main" id="{DA947D45-5D4A-4B3B-AA8D-7B1DBD259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338667</xdr:colOff>
      <xdr:row>22</xdr:row>
      <xdr:rowOff>175106</xdr:rowOff>
    </xdr:from>
    <xdr:to>
      <xdr:col>28</xdr:col>
      <xdr:colOff>253999</xdr:colOff>
      <xdr:row>37</xdr:row>
      <xdr:rowOff>60806</xdr:rowOff>
    </xdr:to>
    <xdr:graphicFrame macro="">
      <xdr:nvGraphicFramePr>
        <xdr:cNvPr id="24" name="Chart 23">
          <a:extLst>
            <a:ext uri="{FF2B5EF4-FFF2-40B4-BE49-F238E27FC236}">
              <a16:creationId xmlns:a16="http://schemas.microsoft.com/office/drawing/2014/main" id="{DDD04CF5-8C59-4AB8-B96C-692DF5A2B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335491</xdr:colOff>
      <xdr:row>7</xdr:row>
      <xdr:rowOff>69273</xdr:rowOff>
    </xdr:from>
    <xdr:to>
      <xdr:col>28</xdr:col>
      <xdr:colOff>253999</xdr:colOff>
      <xdr:row>21</xdr:row>
      <xdr:rowOff>145473</xdr:rowOff>
    </xdr:to>
    <xdr:graphicFrame macro="">
      <xdr:nvGraphicFramePr>
        <xdr:cNvPr id="25" name="Chart 24">
          <a:extLst>
            <a:ext uri="{FF2B5EF4-FFF2-40B4-BE49-F238E27FC236}">
              <a16:creationId xmlns:a16="http://schemas.microsoft.com/office/drawing/2014/main" id="{C6A9062B-03B2-44F4-8286-319B66828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229659</xdr:colOff>
      <xdr:row>8</xdr:row>
      <xdr:rowOff>5773</xdr:rowOff>
    </xdr:from>
    <xdr:to>
      <xdr:col>6</xdr:col>
      <xdr:colOff>216959</xdr:colOff>
      <xdr:row>21</xdr:row>
      <xdr:rowOff>53398</xdr:rowOff>
    </xdr:to>
    <mc:AlternateContent xmlns:mc="http://schemas.openxmlformats.org/markup-compatibility/2006">
      <mc:Choice xmlns:a14="http://schemas.microsoft.com/office/drawing/2010/main" Requires="a14">
        <xdr:graphicFrame macro="">
          <xdr:nvGraphicFramePr>
            <xdr:cNvPr id="26" name="Category 3">
              <a:extLst>
                <a:ext uri="{FF2B5EF4-FFF2-40B4-BE49-F238E27FC236}">
                  <a16:creationId xmlns:a16="http://schemas.microsoft.com/office/drawing/2014/main" id="{290E1771-BF63-4625-8DE5-1FFFC3AB065C}"/>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2071159" y="152977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271991</xdr:colOff>
      <xdr:row>22</xdr:row>
      <xdr:rowOff>84668</xdr:rowOff>
    </xdr:from>
    <xdr:to>
      <xdr:col>6</xdr:col>
      <xdr:colOff>259291</xdr:colOff>
      <xdr:row>37</xdr:row>
      <xdr:rowOff>105834</xdr:rowOff>
    </xdr:to>
    <mc:AlternateContent xmlns:mc="http://schemas.openxmlformats.org/markup-compatibility/2006">
      <mc:Choice xmlns:a14="http://schemas.microsoft.com/office/drawing/2010/main" Requires="a14">
        <xdr:graphicFrame macro="">
          <xdr:nvGraphicFramePr>
            <xdr:cNvPr id="28" name="Unit_Price 3">
              <a:extLst>
                <a:ext uri="{FF2B5EF4-FFF2-40B4-BE49-F238E27FC236}">
                  <a16:creationId xmlns:a16="http://schemas.microsoft.com/office/drawing/2014/main" id="{28AC55F9-3BA1-4765-ADCE-2C0F192CC034}"/>
                </a:ext>
              </a:extLst>
            </xdr:cNvPr>
            <xdr:cNvGraphicFramePr/>
          </xdr:nvGraphicFramePr>
          <xdr:xfrm>
            <a:off x="0" y="0"/>
            <a:ext cx="0" cy="0"/>
          </xdr:xfrm>
          <a:graphic>
            <a:graphicData uri="http://schemas.microsoft.com/office/drawing/2010/slicer">
              <sle:slicer xmlns:sle="http://schemas.microsoft.com/office/drawing/2010/slicer" name="Unit_Price 3"/>
            </a:graphicData>
          </a:graphic>
        </xdr:graphicFrame>
      </mc:Choice>
      <mc:Fallback>
        <xdr:sp macro="" textlink="">
          <xdr:nvSpPr>
            <xdr:cNvPr id="0" name=""/>
            <xdr:cNvSpPr>
              <a:spLocks noTextEdit="1"/>
            </xdr:cNvSpPr>
          </xdr:nvSpPr>
          <xdr:spPr>
            <a:xfrm>
              <a:off x="2113491" y="4275668"/>
              <a:ext cx="1828800" cy="2878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39</xdr:row>
      <xdr:rowOff>42906</xdr:rowOff>
    </xdr:to>
    <xdr:sp macro="" textlink="">
      <xdr:nvSpPr>
        <xdr:cNvPr id="2" name="Rectangle 1">
          <a:extLst>
            <a:ext uri="{FF2B5EF4-FFF2-40B4-BE49-F238E27FC236}">
              <a16:creationId xmlns:a16="http://schemas.microsoft.com/office/drawing/2014/main" id="{7E77DE92-C0C3-4384-B691-0417F09557C9}"/>
            </a:ext>
          </a:extLst>
        </xdr:cNvPr>
        <xdr:cNvSpPr/>
      </xdr:nvSpPr>
      <xdr:spPr>
        <a:xfrm>
          <a:off x="0" y="0"/>
          <a:ext cx="17678400" cy="747240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576792</xdr:colOff>
      <xdr:row>0</xdr:row>
      <xdr:rowOff>132773</xdr:rowOff>
    </xdr:from>
    <xdr:to>
      <xdr:col>29</xdr:col>
      <xdr:colOff>29514</xdr:colOff>
      <xdr:row>39</xdr:row>
      <xdr:rowOff>27460</xdr:rowOff>
    </xdr:to>
    <xdr:sp macro="" textlink="">
      <xdr:nvSpPr>
        <xdr:cNvPr id="3" name="Rectangle 2">
          <a:extLst>
            <a:ext uri="{FF2B5EF4-FFF2-40B4-BE49-F238E27FC236}">
              <a16:creationId xmlns:a16="http://schemas.microsoft.com/office/drawing/2014/main" id="{81B0B966-F6C7-4575-A2BD-C8CFB9FC0860}"/>
            </a:ext>
          </a:extLst>
        </xdr:cNvPr>
        <xdr:cNvSpPr/>
      </xdr:nvSpPr>
      <xdr:spPr>
        <a:xfrm>
          <a:off x="1804459" y="132773"/>
          <a:ext cx="16026222" cy="7324187"/>
        </a:xfrm>
        <a:prstGeom prst="rect">
          <a:avLst/>
        </a:prstGeom>
        <a:solidFill>
          <a:schemeClr val="accent2">
            <a:lumMod val="20000"/>
            <a:lumOff val="80000"/>
          </a:schemeClr>
        </a:solidFill>
        <a:effectLst>
          <a:glow rad="63500">
            <a:schemeClr val="accent4">
              <a:satMod val="175000"/>
              <a:alpha val="40000"/>
            </a:schemeClr>
          </a:glow>
          <a:outerShdw blurRad="50800" dist="38100" dir="8100000" algn="tr" rotWithShape="0">
            <a:prstClr val="black">
              <a:alpha val="40000"/>
            </a:prstClr>
          </a:outerShdw>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i="1">
            <a:solidFill>
              <a:srgbClr val="CC00CC"/>
            </a:solidFill>
          </a:endParaRPr>
        </a:p>
      </xdr:txBody>
    </xdr:sp>
    <xdr:clientData/>
  </xdr:twoCellAnchor>
  <xdr:twoCellAnchor>
    <xdr:from>
      <xdr:col>0</xdr:col>
      <xdr:colOff>73859</xdr:colOff>
      <xdr:row>11</xdr:row>
      <xdr:rowOff>82721</xdr:rowOff>
    </xdr:from>
    <xdr:to>
      <xdr:col>2</xdr:col>
      <xdr:colOff>371756</xdr:colOff>
      <xdr:row>15</xdr:row>
      <xdr:rowOff>54232</xdr:rowOff>
    </xdr:to>
    <xdr:sp macro="" textlink="">
      <xdr:nvSpPr>
        <xdr:cNvPr id="4" name="TextBox 3">
          <a:hlinkClick xmlns:r="http://schemas.openxmlformats.org/officeDocument/2006/relationships" r:id="rId1"/>
          <a:extLst>
            <a:ext uri="{FF2B5EF4-FFF2-40B4-BE49-F238E27FC236}">
              <a16:creationId xmlns:a16="http://schemas.microsoft.com/office/drawing/2014/main" id="{DA5D5B48-9288-4A71-BBE4-146AD061D5D1}"/>
            </a:ext>
          </a:extLst>
        </xdr:cNvPr>
        <xdr:cNvSpPr txBox="1"/>
      </xdr:nvSpPr>
      <xdr:spPr>
        <a:xfrm>
          <a:off x="73859" y="2178221"/>
          <a:ext cx="1517097" cy="73351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chemeClr val="tx1">
                  <a:lumMod val="95000"/>
                  <a:lumOff val="5000"/>
                </a:schemeClr>
              </a:solidFill>
            </a:rPr>
            <a:t>customers</a:t>
          </a:r>
        </a:p>
        <a:p>
          <a:endParaRPr lang="en-IN" sz="1600" b="1" i="1">
            <a:solidFill>
              <a:schemeClr val="tx1">
                <a:lumMod val="95000"/>
                <a:lumOff val="5000"/>
              </a:schemeClr>
            </a:solidFill>
          </a:endParaRPr>
        </a:p>
      </xdr:txBody>
    </xdr:sp>
    <xdr:clientData/>
  </xdr:twoCellAnchor>
  <xdr:twoCellAnchor>
    <xdr:from>
      <xdr:col>0</xdr:col>
      <xdr:colOff>91587</xdr:colOff>
      <xdr:row>15</xdr:row>
      <xdr:rowOff>168177</xdr:rowOff>
    </xdr:from>
    <xdr:to>
      <xdr:col>2</xdr:col>
      <xdr:colOff>386611</xdr:colOff>
      <xdr:row>19</xdr:row>
      <xdr:rowOff>138187</xdr:rowOff>
    </xdr:to>
    <xdr:sp macro="" textlink="">
      <xdr:nvSpPr>
        <xdr:cNvPr id="5" name="TextBox 4">
          <a:hlinkClick xmlns:r="http://schemas.openxmlformats.org/officeDocument/2006/relationships" r:id="rId2"/>
          <a:extLst>
            <a:ext uri="{FF2B5EF4-FFF2-40B4-BE49-F238E27FC236}">
              <a16:creationId xmlns:a16="http://schemas.microsoft.com/office/drawing/2014/main" id="{BC8E3D0D-ACB5-493C-A7FA-5B5A7A066060}"/>
            </a:ext>
          </a:extLst>
        </xdr:cNvPr>
        <xdr:cNvSpPr txBox="1"/>
      </xdr:nvSpPr>
      <xdr:spPr>
        <a:xfrm>
          <a:off x="91587" y="3025677"/>
          <a:ext cx="1514224" cy="73201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chemeClr val="tx1">
                  <a:lumMod val="95000"/>
                  <a:lumOff val="5000"/>
                </a:schemeClr>
              </a:solidFill>
            </a:rPr>
            <a:t>Products</a:t>
          </a:r>
        </a:p>
      </xdr:txBody>
    </xdr:sp>
    <xdr:clientData/>
  </xdr:twoCellAnchor>
  <xdr:twoCellAnchor>
    <xdr:from>
      <xdr:col>3</xdr:col>
      <xdr:colOff>148168</xdr:colOff>
      <xdr:row>6</xdr:row>
      <xdr:rowOff>169332</xdr:rowOff>
    </xdr:from>
    <xdr:to>
      <xdr:col>7</xdr:col>
      <xdr:colOff>317500</xdr:colOff>
      <xdr:row>14</xdr:row>
      <xdr:rowOff>25853</xdr:rowOff>
    </xdr:to>
    <xdr:sp macro="" textlink="">
      <xdr:nvSpPr>
        <xdr:cNvPr id="6" name="TextBox 5">
          <a:extLst>
            <a:ext uri="{FF2B5EF4-FFF2-40B4-BE49-F238E27FC236}">
              <a16:creationId xmlns:a16="http://schemas.microsoft.com/office/drawing/2014/main" id="{60DF942B-4845-44DD-B9B2-07861B9CE2B9}"/>
            </a:ext>
          </a:extLst>
        </xdr:cNvPr>
        <xdr:cNvSpPr txBox="1"/>
      </xdr:nvSpPr>
      <xdr:spPr>
        <a:xfrm>
          <a:off x="1989668" y="1312332"/>
          <a:ext cx="2624665" cy="1380521"/>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CC00CC"/>
              </a:solidFill>
              <a:effectLst/>
              <a:latin typeface="+mn-lt"/>
              <a:ea typeface="+mn-ea"/>
              <a:cs typeface="+mn-cs"/>
            </a:rPr>
            <a:t>SUM</a:t>
          </a:r>
          <a:r>
            <a:rPr lang="en-IN" sz="1800" b="1" i="1" baseline="0">
              <a:solidFill>
                <a:srgbClr val="CC00CC"/>
              </a:solidFill>
              <a:effectLst/>
              <a:latin typeface="+mn-lt"/>
              <a:ea typeface="+mn-ea"/>
              <a:cs typeface="+mn-cs"/>
            </a:rPr>
            <a:t> OF SALES:</a:t>
          </a:r>
          <a:endParaRPr lang="en-IN" sz="1800" b="1" i="1">
            <a:solidFill>
              <a:srgbClr val="CC00CC"/>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800" b="1" i="0">
              <a:solidFill>
                <a:srgbClr val="660066"/>
              </a:solidFill>
              <a:effectLst/>
              <a:latin typeface="+mn-lt"/>
              <a:ea typeface="+mn-ea"/>
              <a:cs typeface="+mn-cs"/>
            </a:rPr>
            <a:t>$25655.95</a:t>
          </a:r>
          <a:r>
            <a:rPr lang="en-IN" sz="2800" b="1">
              <a:solidFill>
                <a:srgbClr val="660066"/>
              </a:solidFill>
              <a:effectLst/>
              <a:latin typeface="+mn-lt"/>
              <a:ea typeface="+mn-ea"/>
              <a:cs typeface="+mn-cs"/>
            </a:rPr>
            <a:t> </a:t>
          </a:r>
          <a:endParaRPr lang="en-IN" sz="2800" b="1">
            <a:solidFill>
              <a:srgbClr val="660066"/>
            </a:solidFill>
            <a:effectLst/>
          </a:endParaRPr>
        </a:p>
        <a:p>
          <a:pPr algn="ctr"/>
          <a:r>
            <a:rPr lang="en-IN" sz="1100" b="1" i="1">
              <a:solidFill>
                <a:schemeClr val="dk1"/>
              </a:solidFill>
              <a:effectLst/>
              <a:latin typeface="+mn-lt"/>
              <a:ea typeface="+mn-ea"/>
              <a:cs typeface="+mn-cs"/>
            </a:rPr>
            <a:t> </a:t>
          </a:r>
          <a:endParaRPr lang="en-IN">
            <a:effectLst/>
          </a:endParaRPr>
        </a:p>
        <a:p>
          <a:endParaRPr lang="en-IN" sz="1100"/>
        </a:p>
      </xdr:txBody>
    </xdr:sp>
    <xdr:clientData/>
  </xdr:twoCellAnchor>
  <xdr:twoCellAnchor>
    <xdr:from>
      <xdr:col>0</xdr:col>
      <xdr:colOff>116159</xdr:colOff>
      <xdr:row>20</xdr:row>
      <xdr:rowOff>136455</xdr:rowOff>
    </xdr:from>
    <xdr:to>
      <xdr:col>2</xdr:col>
      <xdr:colOff>380759</xdr:colOff>
      <xdr:row>25</xdr:row>
      <xdr:rowOff>53575</xdr:rowOff>
    </xdr:to>
    <xdr:sp macro="" textlink="">
      <xdr:nvSpPr>
        <xdr:cNvPr id="7" name="TextBox 6">
          <a:extLst>
            <a:ext uri="{FF2B5EF4-FFF2-40B4-BE49-F238E27FC236}">
              <a16:creationId xmlns:a16="http://schemas.microsoft.com/office/drawing/2014/main" id="{08BF80C5-7802-429D-8067-6FCE01417171}"/>
            </a:ext>
          </a:extLst>
        </xdr:cNvPr>
        <xdr:cNvSpPr txBox="1"/>
      </xdr:nvSpPr>
      <xdr:spPr>
        <a:xfrm>
          <a:off x="116159" y="3946455"/>
          <a:ext cx="1483800" cy="8696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orders</a:t>
          </a:r>
        </a:p>
      </xdr:txBody>
    </xdr:sp>
    <xdr:clientData/>
  </xdr:twoCellAnchor>
  <xdr:twoCellAnchor>
    <xdr:from>
      <xdr:col>0</xdr:col>
      <xdr:colOff>120530</xdr:colOff>
      <xdr:row>25</xdr:row>
      <xdr:rowOff>157955</xdr:rowOff>
    </xdr:from>
    <xdr:to>
      <xdr:col>2</xdr:col>
      <xdr:colOff>352219</xdr:colOff>
      <xdr:row>30</xdr:row>
      <xdr:rowOff>75074</xdr:rowOff>
    </xdr:to>
    <xdr:sp macro="" textlink="">
      <xdr:nvSpPr>
        <xdr:cNvPr id="8" name="TextBox 7">
          <a:hlinkClick xmlns:r="http://schemas.openxmlformats.org/officeDocument/2006/relationships" r:id="rId3"/>
          <a:extLst>
            <a:ext uri="{FF2B5EF4-FFF2-40B4-BE49-F238E27FC236}">
              <a16:creationId xmlns:a16="http://schemas.microsoft.com/office/drawing/2014/main" id="{CCF49C57-1774-4CA4-B6A9-BD3F5DC1D373}"/>
            </a:ext>
          </a:extLst>
        </xdr:cNvPr>
        <xdr:cNvSpPr txBox="1"/>
      </xdr:nvSpPr>
      <xdr:spPr>
        <a:xfrm>
          <a:off x="120530" y="4920455"/>
          <a:ext cx="1450889" cy="86961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Inventory</a:t>
          </a:r>
        </a:p>
      </xdr:txBody>
    </xdr:sp>
    <xdr:clientData/>
  </xdr:twoCellAnchor>
  <xdr:twoCellAnchor>
    <xdr:from>
      <xdr:col>0</xdr:col>
      <xdr:colOff>105393</xdr:colOff>
      <xdr:row>31</xdr:row>
      <xdr:rowOff>59719</xdr:rowOff>
    </xdr:from>
    <xdr:to>
      <xdr:col>2</xdr:col>
      <xdr:colOff>337082</xdr:colOff>
      <xdr:row>35</xdr:row>
      <xdr:rowOff>162692</xdr:rowOff>
    </xdr:to>
    <xdr:sp macro="" textlink="">
      <xdr:nvSpPr>
        <xdr:cNvPr id="9" name="TextBox 8">
          <a:hlinkClick xmlns:r="http://schemas.openxmlformats.org/officeDocument/2006/relationships" r:id="rId4"/>
          <a:extLst>
            <a:ext uri="{FF2B5EF4-FFF2-40B4-BE49-F238E27FC236}">
              <a16:creationId xmlns:a16="http://schemas.microsoft.com/office/drawing/2014/main" id="{AEE5816E-09B2-4F50-AFF9-0E29F7172086}"/>
            </a:ext>
          </a:extLst>
        </xdr:cNvPr>
        <xdr:cNvSpPr txBox="1"/>
      </xdr:nvSpPr>
      <xdr:spPr>
        <a:xfrm>
          <a:off x="105393" y="5965219"/>
          <a:ext cx="1450889" cy="86497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Sales</a:t>
          </a:r>
        </a:p>
      </xdr:txBody>
    </xdr:sp>
    <xdr:clientData/>
  </xdr:twoCellAnchor>
  <xdr:twoCellAnchor>
    <xdr:from>
      <xdr:col>12</xdr:col>
      <xdr:colOff>219807</xdr:colOff>
      <xdr:row>1</xdr:row>
      <xdr:rowOff>0</xdr:rowOff>
    </xdr:from>
    <xdr:to>
      <xdr:col>19</xdr:col>
      <xdr:colOff>128220</xdr:colOff>
      <xdr:row>5</xdr:row>
      <xdr:rowOff>102974</xdr:rowOff>
    </xdr:to>
    <xdr:sp macro="" textlink="">
      <xdr:nvSpPr>
        <xdr:cNvPr id="10" name="TextBox 9">
          <a:extLst>
            <a:ext uri="{FF2B5EF4-FFF2-40B4-BE49-F238E27FC236}">
              <a16:creationId xmlns:a16="http://schemas.microsoft.com/office/drawing/2014/main" id="{9A5C9A50-C765-4E1D-A383-0F69FDDB4E14}"/>
            </a:ext>
          </a:extLst>
        </xdr:cNvPr>
        <xdr:cNvSpPr txBox="1"/>
      </xdr:nvSpPr>
      <xdr:spPr>
        <a:xfrm>
          <a:off x="7535007" y="190500"/>
          <a:ext cx="4175613" cy="864974"/>
        </a:xfrm>
        <a:prstGeom prst="rect">
          <a:avLst/>
        </a:prstGeom>
        <a:solidFill>
          <a:schemeClr val="accent2">
            <a:lumMod val="20000"/>
            <a:lumOff val="80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1" i="1">
              <a:solidFill>
                <a:srgbClr val="660066"/>
              </a:solidFill>
              <a:effectLst>
                <a:outerShdw blurRad="50800" dist="38100" dir="10800000" algn="r" rotWithShape="0">
                  <a:prstClr val="black">
                    <a:alpha val="40000"/>
                  </a:prstClr>
                </a:outerShdw>
              </a:effectLst>
              <a:latin typeface="+mn-lt"/>
              <a:ea typeface="+mn-ea"/>
              <a:cs typeface="+mn-cs"/>
            </a:rPr>
            <a:t>ORDERS</a:t>
          </a:r>
          <a:endParaRPr lang="en-IN" sz="1100">
            <a:solidFill>
              <a:srgbClr val="660066"/>
            </a:solidFill>
          </a:endParaRPr>
        </a:p>
      </xdr:txBody>
    </xdr:sp>
    <xdr:clientData/>
  </xdr:twoCellAnchor>
  <xdr:twoCellAnchor>
    <xdr:from>
      <xdr:col>3</xdr:col>
      <xdr:colOff>140841</xdr:colOff>
      <xdr:row>15</xdr:row>
      <xdr:rowOff>63500</xdr:rowOff>
    </xdr:from>
    <xdr:to>
      <xdr:col>7</xdr:col>
      <xdr:colOff>317500</xdr:colOff>
      <xdr:row>21</xdr:row>
      <xdr:rowOff>0</xdr:rowOff>
    </xdr:to>
    <xdr:sp macro="" textlink="">
      <xdr:nvSpPr>
        <xdr:cNvPr id="11" name="TextBox 10">
          <a:extLst>
            <a:ext uri="{FF2B5EF4-FFF2-40B4-BE49-F238E27FC236}">
              <a16:creationId xmlns:a16="http://schemas.microsoft.com/office/drawing/2014/main" id="{DE816905-B830-4F6C-9796-CFABFC04F37F}"/>
            </a:ext>
          </a:extLst>
        </xdr:cNvPr>
        <xdr:cNvSpPr txBox="1"/>
      </xdr:nvSpPr>
      <xdr:spPr>
        <a:xfrm>
          <a:off x="1982341" y="2921000"/>
          <a:ext cx="2631992" cy="1079500"/>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CC00CC"/>
              </a:solidFill>
              <a:effectLst/>
              <a:latin typeface="+mn-lt"/>
              <a:ea typeface="+mn-ea"/>
              <a:cs typeface="+mn-cs"/>
            </a:rPr>
            <a:t>YEAR:</a:t>
          </a:r>
          <a:endParaRPr lang="en-IN" sz="1800">
            <a:solidFill>
              <a:srgbClr val="CC00CC"/>
            </a:solidFill>
            <a:effectLst/>
          </a:endParaRPr>
        </a:p>
        <a:p>
          <a:pPr algn="ctr"/>
          <a:r>
            <a:rPr lang="en-IN" sz="2600" b="1" i="0">
              <a:solidFill>
                <a:srgbClr val="660066"/>
              </a:solidFill>
              <a:effectLst/>
              <a:latin typeface="+mn-lt"/>
              <a:ea typeface="+mn-ea"/>
              <a:cs typeface="+mn-cs"/>
            </a:rPr>
            <a:t>2019</a:t>
          </a:r>
          <a:endParaRPr lang="en-IN" sz="1100"/>
        </a:p>
      </xdr:txBody>
    </xdr:sp>
    <xdr:clientData/>
  </xdr:twoCellAnchor>
  <xdr:twoCellAnchor>
    <xdr:from>
      <xdr:col>12</xdr:col>
      <xdr:colOff>529167</xdr:colOff>
      <xdr:row>6</xdr:row>
      <xdr:rowOff>148167</xdr:rowOff>
    </xdr:from>
    <xdr:to>
      <xdr:col>17</xdr:col>
      <xdr:colOff>444500</xdr:colOff>
      <xdr:row>14</xdr:row>
      <xdr:rowOff>63501</xdr:rowOff>
    </xdr:to>
    <xdr:sp macro="" textlink="">
      <xdr:nvSpPr>
        <xdr:cNvPr id="20" name="TextBox 19">
          <a:extLst>
            <a:ext uri="{FF2B5EF4-FFF2-40B4-BE49-F238E27FC236}">
              <a16:creationId xmlns:a16="http://schemas.microsoft.com/office/drawing/2014/main" id="{046538FA-5AD2-4B32-AAE7-887C5CCBFC87}"/>
            </a:ext>
          </a:extLst>
        </xdr:cNvPr>
        <xdr:cNvSpPr txBox="1"/>
      </xdr:nvSpPr>
      <xdr:spPr>
        <a:xfrm>
          <a:off x="7895167" y="1291167"/>
          <a:ext cx="2984500" cy="1439334"/>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CC00CC"/>
              </a:solidFill>
              <a:effectLst/>
              <a:latin typeface="+mn-lt"/>
              <a:ea typeface="+mn-ea"/>
              <a:cs typeface="+mn-cs"/>
            </a:rPr>
            <a:t>COUNT</a:t>
          </a:r>
          <a:r>
            <a:rPr lang="en-IN" sz="1800" b="1" i="1" baseline="0">
              <a:solidFill>
                <a:srgbClr val="CC00CC"/>
              </a:solidFill>
              <a:effectLst/>
              <a:latin typeface="+mn-lt"/>
              <a:ea typeface="+mn-ea"/>
              <a:cs typeface="+mn-cs"/>
            </a:rPr>
            <a:t> OF ORDER ID</a:t>
          </a:r>
          <a:r>
            <a:rPr lang="en-IN" sz="1800" b="1" i="1">
              <a:solidFill>
                <a:srgbClr val="CC00CC"/>
              </a:solidFill>
              <a:effectLst/>
              <a:latin typeface="+mn-lt"/>
              <a:ea typeface="+mn-ea"/>
              <a:cs typeface="+mn-cs"/>
            </a:rPr>
            <a:t>:</a:t>
          </a:r>
          <a:endParaRPr lang="en-IN" sz="1800">
            <a:solidFill>
              <a:srgbClr val="CC00CC"/>
            </a:solidFill>
            <a:effectLst/>
          </a:endParaRPr>
        </a:p>
        <a:p>
          <a:pPr algn="ctr"/>
          <a:r>
            <a:rPr lang="en-IN" sz="2600" b="1" i="0">
              <a:solidFill>
                <a:srgbClr val="660066"/>
              </a:solidFill>
              <a:effectLst/>
              <a:latin typeface="+mn-lt"/>
              <a:ea typeface="+mn-ea"/>
              <a:cs typeface="+mn-cs"/>
            </a:rPr>
            <a:t>99 </a:t>
          </a:r>
          <a:r>
            <a:rPr lang="en-IN" sz="2600" b="1">
              <a:solidFill>
                <a:srgbClr val="660066"/>
              </a:solidFill>
              <a:effectLst/>
              <a:latin typeface="+mn-lt"/>
              <a:ea typeface="+mn-ea"/>
              <a:cs typeface="+mn-cs"/>
            </a:rPr>
            <a:t> </a:t>
          </a:r>
          <a:endParaRPr lang="en-IN" sz="2600">
            <a:solidFill>
              <a:srgbClr val="660066"/>
            </a:solidFill>
            <a:effectLst/>
          </a:endParaRPr>
        </a:p>
        <a:p>
          <a:endParaRPr lang="en-IN" sz="1100"/>
        </a:p>
      </xdr:txBody>
    </xdr:sp>
    <xdr:clientData/>
  </xdr:twoCellAnchor>
  <xdr:twoCellAnchor>
    <xdr:from>
      <xdr:col>7</xdr:col>
      <xdr:colOff>529168</xdr:colOff>
      <xdr:row>15</xdr:row>
      <xdr:rowOff>63499</xdr:rowOff>
    </xdr:from>
    <xdr:to>
      <xdr:col>12</xdr:col>
      <xdr:colOff>317501</xdr:colOff>
      <xdr:row>20</xdr:row>
      <xdr:rowOff>158172</xdr:rowOff>
    </xdr:to>
    <xdr:sp macro="" textlink="">
      <xdr:nvSpPr>
        <xdr:cNvPr id="21" name="TextBox 20">
          <a:extLst>
            <a:ext uri="{FF2B5EF4-FFF2-40B4-BE49-F238E27FC236}">
              <a16:creationId xmlns:a16="http://schemas.microsoft.com/office/drawing/2014/main" id="{006927CF-5D0D-4AF1-8E52-BD082C59EB15}"/>
            </a:ext>
          </a:extLst>
        </xdr:cNvPr>
        <xdr:cNvSpPr txBox="1"/>
      </xdr:nvSpPr>
      <xdr:spPr>
        <a:xfrm>
          <a:off x="4826001" y="2920999"/>
          <a:ext cx="2857500" cy="1047173"/>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CC00CC"/>
              </a:solidFill>
              <a:effectLst/>
              <a:latin typeface="+mn-lt"/>
              <a:ea typeface="+mn-ea"/>
              <a:cs typeface="+mn-cs"/>
            </a:rPr>
            <a:t>MONTH:</a:t>
          </a:r>
          <a:endParaRPr lang="en-IN" sz="1800">
            <a:solidFill>
              <a:srgbClr val="CC00CC"/>
            </a:solidFill>
            <a:effectLst/>
          </a:endParaRPr>
        </a:p>
        <a:p>
          <a:pPr algn="ctr"/>
          <a:r>
            <a:rPr lang="en-IN" sz="2600" b="1" i="0">
              <a:solidFill>
                <a:srgbClr val="660066"/>
              </a:solidFill>
              <a:effectLst/>
              <a:latin typeface="+mn-lt"/>
              <a:ea typeface="+mn-ea"/>
              <a:cs typeface="+mn-cs"/>
            </a:rPr>
            <a:t>APRIL</a:t>
          </a:r>
          <a:endParaRPr lang="en-IN" sz="1100"/>
        </a:p>
      </xdr:txBody>
    </xdr:sp>
    <xdr:clientData/>
  </xdr:twoCellAnchor>
  <xdr:twoCellAnchor>
    <xdr:from>
      <xdr:col>12</xdr:col>
      <xdr:colOff>571501</xdr:colOff>
      <xdr:row>15</xdr:row>
      <xdr:rowOff>63500</xdr:rowOff>
    </xdr:from>
    <xdr:to>
      <xdr:col>17</xdr:col>
      <xdr:colOff>465666</xdr:colOff>
      <xdr:row>21</xdr:row>
      <xdr:rowOff>0</xdr:rowOff>
    </xdr:to>
    <xdr:sp macro="" textlink="">
      <xdr:nvSpPr>
        <xdr:cNvPr id="22" name="TextBox 21">
          <a:extLst>
            <a:ext uri="{FF2B5EF4-FFF2-40B4-BE49-F238E27FC236}">
              <a16:creationId xmlns:a16="http://schemas.microsoft.com/office/drawing/2014/main" id="{586B8EB2-CF75-4839-BADC-E743C3370892}"/>
            </a:ext>
          </a:extLst>
        </xdr:cNvPr>
        <xdr:cNvSpPr txBox="1"/>
      </xdr:nvSpPr>
      <xdr:spPr>
        <a:xfrm>
          <a:off x="7937501" y="2921000"/>
          <a:ext cx="2963332" cy="1079500"/>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CC00CC"/>
              </a:solidFill>
              <a:effectLst/>
              <a:latin typeface="+mn-lt"/>
              <a:ea typeface="+mn-ea"/>
              <a:cs typeface="+mn-cs"/>
            </a:rPr>
            <a:t>DATE:</a:t>
          </a:r>
          <a:endParaRPr lang="en-IN" sz="1800">
            <a:solidFill>
              <a:srgbClr val="CC00CC"/>
            </a:solidFill>
            <a:effectLst/>
          </a:endParaRPr>
        </a:p>
        <a:p>
          <a:pPr algn="ctr"/>
          <a:r>
            <a:rPr lang="en-IN" sz="2600" b="1" i="0">
              <a:solidFill>
                <a:srgbClr val="660066"/>
              </a:solidFill>
              <a:effectLst/>
              <a:latin typeface="+mn-lt"/>
              <a:ea typeface="+mn-ea"/>
              <a:cs typeface="+mn-cs"/>
            </a:rPr>
            <a:t>14</a:t>
          </a:r>
          <a:endParaRPr lang="en-IN" sz="1100"/>
        </a:p>
      </xdr:txBody>
    </xdr:sp>
    <xdr:clientData/>
  </xdr:twoCellAnchor>
  <xdr:twoCellAnchor>
    <xdr:from>
      <xdr:col>7</xdr:col>
      <xdr:colOff>508001</xdr:colOff>
      <xdr:row>6</xdr:row>
      <xdr:rowOff>173565</xdr:rowOff>
    </xdr:from>
    <xdr:to>
      <xdr:col>12</xdr:col>
      <xdr:colOff>296333</xdr:colOff>
      <xdr:row>14</xdr:row>
      <xdr:rowOff>42332</xdr:rowOff>
    </xdr:to>
    <xdr:sp macro="" textlink="">
      <xdr:nvSpPr>
        <xdr:cNvPr id="23" name="TextBox 22">
          <a:extLst>
            <a:ext uri="{FF2B5EF4-FFF2-40B4-BE49-F238E27FC236}">
              <a16:creationId xmlns:a16="http://schemas.microsoft.com/office/drawing/2014/main" id="{6F8AEE29-7303-4A9E-97E0-9352704729EE}"/>
            </a:ext>
          </a:extLst>
        </xdr:cNvPr>
        <xdr:cNvSpPr txBox="1"/>
      </xdr:nvSpPr>
      <xdr:spPr>
        <a:xfrm>
          <a:off x="4804834" y="1316565"/>
          <a:ext cx="2857499" cy="1392767"/>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CC00CC"/>
              </a:solidFill>
              <a:effectLst/>
              <a:latin typeface="+mn-lt"/>
              <a:ea typeface="+mn-ea"/>
              <a:cs typeface="+mn-cs"/>
            </a:rPr>
            <a:t>SUM</a:t>
          </a:r>
          <a:r>
            <a:rPr lang="en-IN" sz="1800" b="1" i="1" baseline="0">
              <a:solidFill>
                <a:srgbClr val="CC00CC"/>
              </a:solidFill>
              <a:effectLst/>
              <a:latin typeface="+mn-lt"/>
              <a:ea typeface="+mn-ea"/>
              <a:cs typeface="+mn-cs"/>
            </a:rPr>
            <a:t> OF PROFIT</a:t>
          </a:r>
          <a:r>
            <a:rPr lang="en-IN" sz="1800" b="1" i="1">
              <a:solidFill>
                <a:srgbClr val="CC00CC"/>
              </a:solidFill>
              <a:effectLst/>
              <a:latin typeface="+mn-lt"/>
              <a:ea typeface="+mn-ea"/>
              <a:cs typeface="+mn-cs"/>
            </a:rPr>
            <a:t>:</a:t>
          </a:r>
          <a:endParaRPr lang="en-IN" sz="1800">
            <a:solidFill>
              <a:srgbClr val="CC00CC"/>
            </a:solidFill>
            <a:effectLst/>
          </a:endParaRPr>
        </a:p>
        <a:p>
          <a:pPr algn="ctr"/>
          <a:r>
            <a:rPr lang="en-IN" sz="2600" b="1" i="0">
              <a:solidFill>
                <a:srgbClr val="660066"/>
              </a:solidFill>
              <a:effectLst/>
              <a:latin typeface="+mn-lt"/>
              <a:ea typeface="+mn-ea"/>
              <a:cs typeface="+mn-cs"/>
            </a:rPr>
            <a:t>$5899.233</a:t>
          </a:r>
          <a:endParaRPr lang="en-IN" sz="2600">
            <a:solidFill>
              <a:srgbClr val="660066"/>
            </a:solidFill>
            <a:effectLst/>
          </a:endParaRPr>
        </a:p>
        <a:p>
          <a:endParaRPr lang="en-IN" sz="1100"/>
        </a:p>
      </xdr:txBody>
    </xdr:sp>
    <xdr:clientData/>
  </xdr:twoCellAnchor>
  <xdr:twoCellAnchor>
    <xdr:from>
      <xdr:col>16</xdr:col>
      <xdr:colOff>338667</xdr:colOff>
      <xdr:row>22</xdr:row>
      <xdr:rowOff>42333</xdr:rowOff>
    </xdr:from>
    <xdr:to>
      <xdr:col>28</xdr:col>
      <xdr:colOff>338666</xdr:colOff>
      <xdr:row>37</xdr:row>
      <xdr:rowOff>160867</xdr:rowOff>
    </xdr:to>
    <xdr:graphicFrame macro="">
      <xdr:nvGraphicFramePr>
        <xdr:cNvPr id="27" name="Chart 26">
          <a:extLst>
            <a:ext uri="{FF2B5EF4-FFF2-40B4-BE49-F238E27FC236}">
              <a16:creationId xmlns:a16="http://schemas.microsoft.com/office/drawing/2014/main" id="{C15CEFB7-B81B-45E3-BF28-F2E03BF79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22</xdr:row>
      <xdr:rowOff>63500</xdr:rowOff>
    </xdr:from>
    <xdr:to>
      <xdr:col>16</xdr:col>
      <xdr:colOff>177882</xdr:colOff>
      <xdr:row>37</xdr:row>
      <xdr:rowOff>144703</xdr:rowOff>
    </xdr:to>
    <xdr:graphicFrame macro="">
      <xdr:nvGraphicFramePr>
        <xdr:cNvPr id="28" name="Chart 27">
          <a:extLst>
            <a:ext uri="{FF2B5EF4-FFF2-40B4-BE49-F238E27FC236}">
              <a16:creationId xmlns:a16="http://schemas.microsoft.com/office/drawing/2014/main" id="{0AA98109-DEA9-4976-9CEC-FEC07CADD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89959</xdr:colOff>
      <xdr:row>7</xdr:row>
      <xdr:rowOff>5773</xdr:rowOff>
    </xdr:from>
    <xdr:to>
      <xdr:col>28</xdr:col>
      <xdr:colOff>317500</xdr:colOff>
      <xdr:row>21</xdr:row>
      <xdr:rowOff>81973</xdr:rowOff>
    </xdr:to>
    <xdr:graphicFrame macro="">
      <xdr:nvGraphicFramePr>
        <xdr:cNvPr id="29" name="Chart 28">
          <a:extLst>
            <a:ext uri="{FF2B5EF4-FFF2-40B4-BE49-F238E27FC236}">
              <a16:creationId xmlns:a16="http://schemas.microsoft.com/office/drawing/2014/main" id="{24120C65-8331-432B-A30E-730D4E0E9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153459</xdr:colOff>
      <xdr:row>22</xdr:row>
      <xdr:rowOff>111606</xdr:rowOff>
    </xdr:from>
    <xdr:to>
      <xdr:col>6</xdr:col>
      <xdr:colOff>423333</xdr:colOff>
      <xdr:row>37</xdr:row>
      <xdr:rowOff>169333</xdr:rowOff>
    </xdr:to>
    <mc:AlternateContent xmlns:mc="http://schemas.openxmlformats.org/markup-compatibility/2006">
      <mc:Choice xmlns:a14="http://schemas.microsoft.com/office/drawing/2010/main" Requires="a14">
        <xdr:graphicFrame macro="">
          <xdr:nvGraphicFramePr>
            <xdr:cNvPr id="30" name="Sales 1">
              <a:extLst>
                <a:ext uri="{FF2B5EF4-FFF2-40B4-BE49-F238E27FC236}">
                  <a16:creationId xmlns:a16="http://schemas.microsoft.com/office/drawing/2014/main" id="{6749CF0B-B2BA-45A2-95F1-F769C306EB65}"/>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1994959" y="4302606"/>
              <a:ext cx="2111374" cy="2915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39</xdr:row>
      <xdr:rowOff>42906</xdr:rowOff>
    </xdr:to>
    <xdr:sp macro="" textlink="">
      <xdr:nvSpPr>
        <xdr:cNvPr id="2" name="Rectangle 1">
          <a:extLst>
            <a:ext uri="{FF2B5EF4-FFF2-40B4-BE49-F238E27FC236}">
              <a16:creationId xmlns:a16="http://schemas.microsoft.com/office/drawing/2014/main" id="{A5ABC977-028E-4490-AA6C-6C3BA12F881A}"/>
            </a:ext>
          </a:extLst>
        </xdr:cNvPr>
        <xdr:cNvSpPr/>
      </xdr:nvSpPr>
      <xdr:spPr>
        <a:xfrm>
          <a:off x="0" y="0"/>
          <a:ext cx="17678400" cy="747240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68792</xdr:colOff>
      <xdr:row>0</xdr:row>
      <xdr:rowOff>0</xdr:rowOff>
    </xdr:from>
    <xdr:to>
      <xdr:col>29</xdr:col>
      <xdr:colOff>135347</xdr:colOff>
      <xdr:row>38</xdr:row>
      <xdr:rowOff>85187</xdr:rowOff>
    </xdr:to>
    <xdr:sp macro="" textlink="">
      <xdr:nvSpPr>
        <xdr:cNvPr id="3" name="Rectangle 2">
          <a:extLst>
            <a:ext uri="{FF2B5EF4-FFF2-40B4-BE49-F238E27FC236}">
              <a16:creationId xmlns:a16="http://schemas.microsoft.com/office/drawing/2014/main" id="{824B01A8-1359-4805-9C26-6D5342E57206}"/>
            </a:ext>
          </a:extLst>
        </xdr:cNvPr>
        <xdr:cNvSpPr/>
      </xdr:nvSpPr>
      <xdr:spPr>
        <a:xfrm>
          <a:off x="1910292" y="0"/>
          <a:ext cx="16026222" cy="7324187"/>
        </a:xfrm>
        <a:prstGeom prst="rect">
          <a:avLst/>
        </a:prstGeom>
        <a:solidFill>
          <a:schemeClr val="accent2">
            <a:lumMod val="20000"/>
            <a:lumOff val="80000"/>
          </a:schemeClr>
        </a:solidFill>
        <a:effectLst>
          <a:glow rad="63500">
            <a:schemeClr val="accent4">
              <a:satMod val="175000"/>
              <a:alpha val="40000"/>
            </a:schemeClr>
          </a:glow>
          <a:outerShdw blurRad="50800" dist="38100" dir="8100000" algn="tr" rotWithShape="0">
            <a:prstClr val="black">
              <a:alpha val="40000"/>
            </a:prstClr>
          </a:outerShdw>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i="1">
            <a:solidFill>
              <a:srgbClr val="CC00CC"/>
            </a:solidFill>
          </a:endParaRPr>
        </a:p>
      </xdr:txBody>
    </xdr:sp>
    <xdr:clientData/>
  </xdr:twoCellAnchor>
  <xdr:twoCellAnchor>
    <xdr:from>
      <xdr:col>0</xdr:col>
      <xdr:colOff>73859</xdr:colOff>
      <xdr:row>11</xdr:row>
      <xdr:rowOff>82721</xdr:rowOff>
    </xdr:from>
    <xdr:to>
      <xdr:col>2</xdr:col>
      <xdr:colOff>371756</xdr:colOff>
      <xdr:row>15</xdr:row>
      <xdr:rowOff>54232</xdr:rowOff>
    </xdr:to>
    <xdr:sp macro="" textlink="">
      <xdr:nvSpPr>
        <xdr:cNvPr id="4" name="TextBox 3">
          <a:hlinkClick xmlns:r="http://schemas.openxmlformats.org/officeDocument/2006/relationships" r:id="rId1"/>
          <a:extLst>
            <a:ext uri="{FF2B5EF4-FFF2-40B4-BE49-F238E27FC236}">
              <a16:creationId xmlns:a16="http://schemas.microsoft.com/office/drawing/2014/main" id="{C285B747-7FAF-4BB5-A7BE-52FFE94F8FD8}"/>
            </a:ext>
          </a:extLst>
        </xdr:cNvPr>
        <xdr:cNvSpPr txBox="1"/>
      </xdr:nvSpPr>
      <xdr:spPr>
        <a:xfrm>
          <a:off x="73859" y="2178221"/>
          <a:ext cx="1517097" cy="73351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chemeClr val="tx1">
                  <a:lumMod val="95000"/>
                  <a:lumOff val="5000"/>
                </a:schemeClr>
              </a:solidFill>
            </a:rPr>
            <a:t>customers</a:t>
          </a:r>
        </a:p>
        <a:p>
          <a:endParaRPr lang="en-IN" sz="1600" b="1" i="1">
            <a:solidFill>
              <a:schemeClr val="tx1">
                <a:lumMod val="95000"/>
                <a:lumOff val="5000"/>
              </a:schemeClr>
            </a:solidFill>
          </a:endParaRPr>
        </a:p>
      </xdr:txBody>
    </xdr:sp>
    <xdr:clientData/>
  </xdr:twoCellAnchor>
  <xdr:twoCellAnchor>
    <xdr:from>
      <xdr:col>0</xdr:col>
      <xdr:colOff>91587</xdr:colOff>
      <xdr:row>15</xdr:row>
      <xdr:rowOff>168177</xdr:rowOff>
    </xdr:from>
    <xdr:to>
      <xdr:col>2</xdr:col>
      <xdr:colOff>386611</xdr:colOff>
      <xdr:row>19</xdr:row>
      <xdr:rowOff>138187</xdr:rowOff>
    </xdr:to>
    <xdr:sp macro="" textlink="">
      <xdr:nvSpPr>
        <xdr:cNvPr id="5" name="TextBox 4">
          <a:hlinkClick xmlns:r="http://schemas.openxmlformats.org/officeDocument/2006/relationships" r:id="rId2"/>
          <a:extLst>
            <a:ext uri="{FF2B5EF4-FFF2-40B4-BE49-F238E27FC236}">
              <a16:creationId xmlns:a16="http://schemas.microsoft.com/office/drawing/2014/main" id="{569DCFA4-6DF0-4B19-9662-1227D3E3B884}"/>
            </a:ext>
          </a:extLst>
        </xdr:cNvPr>
        <xdr:cNvSpPr txBox="1"/>
      </xdr:nvSpPr>
      <xdr:spPr>
        <a:xfrm>
          <a:off x="91587" y="3025677"/>
          <a:ext cx="1514224" cy="73201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chemeClr val="tx1">
                  <a:lumMod val="95000"/>
                  <a:lumOff val="5000"/>
                </a:schemeClr>
              </a:solidFill>
            </a:rPr>
            <a:t>Products</a:t>
          </a:r>
        </a:p>
      </xdr:txBody>
    </xdr:sp>
    <xdr:clientData/>
  </xdr:twoCellAnchor>
  <xdr:twoCellAnchor>
    <xdr:from>
      <xdr:col>0</xdr:col>
      <xdr:colOff>116159</xdr:colOff>
      <xdr:row>20</xdr:row>
      <xdr:rowOff>136455</xdr:rowOff>
    </xdr:from>
    <xdr:to>
      <xdr:col>2</xdr:col>
      <xdr:colOff>380759</xdr:colOff>
      <xdr:row>25</xdr:row>
      <xdr:rowOff>53575</xdr:rowOff>
    </xdr:to>
    <xdr:sp macro="" textlink="">
      <xdr:nvSpPr>
        <xdr:cNvPr id="7" name="TextBox 6">
          <a:hlinkClick xmlns:r="http://schemas.openxmlformats.org/officeDocument/2006/relationships" r:id="rId3"/>
          <a:extLst>
            <a:ext uri="{FF2B5EF4-FFF2-40B4-BE49-F238E27FC236}">
              <a16:creationId xmlns:a16="http://schemas.microsoft.com/office/drawing/2014/main" id="{07E3B8F1-9F7F-4EE6-834B-057A881AB8D4}"/>
            </a:ext>
          </a:extLst>
        </xdr:cNvPr>
        <xdr:cNvSpPr txBox="1"/>
      </xdr:nvSpPr>
      <xdr:spPr>
        <a:xfrm>
          <a:off x="116159" y="3946455"/>
          <a:ext cx="1483800" cy="8696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t>orders</a:t>
          </a:r>
        </a:p>
      </xdr:txBody>
    </xdr:sp>
    <xdr:clientData/>
  </xdr:twoCellAnchor>
  <xdr:twoCellAnchor>
    <xdr:from>
      <xdr:col>0</xdr:col>
      <xdr:colOff>120530</xdr:colOff>
      <xdr:row>25</xdr:row>
      <xdr:rowOff>157955</xdr:rowOff>
    </xdr:from>
    <xdr:to>
      <xdr:col>2</xdr:col>
      <xdr:colOff>352219</xdr:colOff>
      <xdr:row>30</xdr:row>
      <xdr:rowOff>75074</xdr:rowOff>
    </xdr:to>
    <xdr:sp macro="" textlink="">
      <xdr:nvSpPr>
        <xdr:cNvPr id="8" name="TextBox 7">
          <a:extLst>
            <a:ext uri="{FF2B5EF4-FFF2-40B4-BE49-F238E27FC236}">
              <a16:creationId xmlns:a16="http://schemas.microsoft.com/office/drawing/2014/main" id="{35CD1A02-EF67-42F6-9E39-FB0D8675BFDB}"/>
            </a:ext>
          </a:extLst>
        </xdr:cNvPr>
        <xdr:cNvSpPr txBox="1"/>
      </xdr:nvSpPr>
      <xdr:spPr>
        <a:xfrm>
          <a:off x="120530" y="4920455"/>
          <a:ext cx="1450889" cy="869619"/>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t>Inventory</a:t>
          </a:r>
        </a:p>
      </xdr:txBody>
    </xdr:sp>
    <xdr:clientData/>
  </xdr:twoCellAnchor>
  <xdr:twoCellAnchor>
    <xdr:from>
      <xdr:col>0</xdr:col>
      <xdr:colOff>105393</xdr:colOff>
      <xdr:row>31</xdr:row>
      <xdr:rowOff>59719</xdr:rowOff>
    </xdr:from>
    <xdr:to>
      <xdr:col>2</xdr:col>
      <xdr:colOff>337082</xdr:colOff>
      <xdr:row>35</xdr:row>
      <xdr:rowOff>162692</xdr:rowOff>
    </xdr:to>
    <xdr:sp macro="" textlink="">
      <xdr:nvSpPr>
        <xdr:cNvPr id="9" name="TextBox 8">
          <a:hlinkClick xmlns:r="http://schemas.openxmlformats.org/officeDocument/2006/relationships" r:id="rId4"/>
          <a:extLst>
            <a:ext uri="{FF2B5EF4-FFF2-40B4-BE49-F238E27FC236}">
              <a16:creationId xmlns:a16="http://schemas.microsoft.com/office/drawing/2014/main" id="{4F4573E0-1CE5-453B-9334-902037337665}"/>
            </a:ext>
          </a:extLst>
        </xdr:cNvPr>
        <xdr:cNvSpPr txBox="1"/>
      </xdr:nvSpPr>
      <xdr:spPr>
        <a:xfrm>
          <a:off x="105393" y="5965219"/>
          <a:ext cx="1450889" cy="86497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t>Sales</a:t>
          </a:r>
        </a:p>
      </xdr:txBody>
    </xdr:sp>
    <xdr:clientData/>
  </xdr:twoCellAnchor>
  <xdr:twoCellAnchor>
    <xdr:from>
      <xdr:col>12</xdr:col>
      <xdr:colOff>219807</xdr:colOff>
      <xdr:row>1</xdr:row>
      <xdr:rowOff>0</xdr:rowOff>
    </xdr:from>
    <xdr:to>
      <xdr:col>19</xdr:col>
      <xdr:colOff>128220</xdr:colOff>
      <xdr:row>5</xdr:row>
      <xdr:rowOff>102974</xdr:rowOff>
    </xdr:to>
    <xdr:sp macro="" textlink="">
      <xdr:nvSpPr>
        <xdr:cNvPr id="10" name="TextBox 9">
          <a:extLst>
            <a:ext uri="{FF2B5EF4-FFF2-40B4-BE49-F238E27FC236}">
              <a16:creationId xmlns:a16="http://schemas.microsoft.com/office/drawing/2014/main" id="{530AB211-C168-4A73-A88D-C8B586C94E74}"/>
            </a:ext>
          </a:extLst>
        </xdr:cNvPr>
        <xdr:cNvSpPr txBox="1"/>
      </xdr:nvSpPr>
      <xdr:spPr>
        <a:xfrm>
          <a:off x="7535007" y="190500"/>
          <a:ext cx="4175613" cy="864974"/>
        </a:xfrm>
        <a:prstGeom prst="rect">
          <a:avLst/>
        </a:prstGeom>
        <a:solidFill>
          <a:schemeClr val="accent2">
            <a:lumMod val="20000"/>
            <a:lumOff val="80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1" i="1">
              <a:solidFill>
                <a:srgbClr val="660066"/>
              </a:solidFill>
              <a:effectLst>
                <a:outerShdw blurRad="50800" dist="38100" dir="10800000" algn="r" rotWithShape="0">
                  <a:prstClr val="black">
                    <a:alpha val="40000"/>
                  </a:prstClr>
                </a:outerShdw>
              </a:effectLst>
              <a:latin typeface="+mn-lt"/>
              <a:ea typeface="+mn-ea"/>
              <a:cs typeface="+mn-cs"/>
            </a:rPr>
            <a:t>INVENTORY</a:t>
          </a:r>
          <a:endParaRPr lang="en-IN" sz="1100">
            <a:solidFill>
              <a:srgbClr val="660066"/>
            </a:solidFill>
          </a:endParaRPr>
        </a:p>
      </xdr:txBody>
    </xdr:sp>
    <xdr:clientData/>
  </xdr:twoCellAnchor>
  <xdr:twoCellAnchor>
    <xdr:from>
      <xdr:col>7</xdr:col>
      <xdr:colOff>105834</xdr:colOff>
      <xdr:row>7</xdr:row>
      <xdr:rowOff>169334</xdr:rowOff>
    </xdr:from>
    <xdr:to>
      <xdr:col>12</xdr:col>
      <xdr:colOff>211666</xdr:colOff>
      <xdr:row>13</xdr:row>
      <xdr:rowOff>105834</xdr:rowOff>
    </xdr:to>
    <xdr:sp macro="" textlink="">
      <xdr:nvSpPr>
        <xdr:cNvPr id="11" name="TextBox 10">
          <a:extLst>
            <a:ext uri="{FF2B5EF4-FFF2-40B4-BE49-F238E27FC236}">
              <a16:creationId xmlns:a16="http://schemas.microsoft.com/office/drawing/2014/main" id="{57A10663-F4EB-4B34-B0FD-F8C5ED3084B8}"/>
            </a:ext>
          </a:extLst>
        </xdr:cNvPr>
        <xdr:cNvSpPr txBox="1"/>
      </xdr:nvSpPr>
      <xdr:spPr>
        <a:xfrm>
          <a:off x="4402667" y="1502834"/>
          <a:ext cx="3174999" cy="1079500"/>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rgbClr val="CC00CC"/>
              </a:solidFill>
              <a:effectLst/>
              <a:latin typeface="+mn-lt"/>
              <a:ea typeface="+mn-ea"/>
              <a:cs typeface="+mn-cs"/>
            </a:rPr>
            <a:t>AVERAGE</a:t>
          </a:r>
          <a:r>
            <a:rPr lang="en-IN" sz="1600" b="1" i="1" baseline="0">
              <a:solidFill>
                <a:srgbClr val="CC00CC"/>
              </a:solidFill>
              <a:effectLst/>
              <a:latin typeface="+mn-lt"/>
              <a:ea typeface="+mn-ea"/>
              <a:cs typeface="+mn-cs"/>
            </a:rPr>
            <a:t> OF RE-ORDER LEVEL</a:t>
          </a:r>
          <a:r>
            <a:rPr lang="en-IN" sz="1600" b="1" i="1">
              <a:solidFill>
                <a:srgbClr val="CC00CC"/>
              </a:solidFill>
              <a:effectLst/>
              <a:latin typeface="+mn-lt"/>
              <a:ea typeface="+mn-ea"/>
              <a:cs typeface="+mn-cs"/>
            </a:rPr>
            <a:t>:</a:t>
          </a:r>
          <a:endParaRPr lang="en-IN" sz="1600">
            <a:solidFill>
              <a:srgbClr val="CC00CC"/>
            </a:solidFill>
            <a:effectLst/>
          </a:endParaRPr>
        </a:p>
        <a:p>
          <a:pPr algn="ctr"/>
          <a:r>
            <a:rPr lang="en-IN" sz="2600" b="1" i="0">
              <a:solidFill>
                <a:srgbClr val="660066"/>
              </a:solidFill>
              <a:effectLst/>
              <a:latin typeface="+mn-lt"/>
              <a:ea typeface="+mn-ea"/>
              <a:cs typeface="+mn-cs"/>
            </a:rPr>
            <a:t>53.84848</a:t>
          </a:r>
          <a:endParaRPr lang="en-IN" sz="1100"/>
        </a:p>
      </xdr:txBody>
    </xdr:sp>
    <xdr:clientData/>
  </xdr:twoCellAnchor>
  <xdr:twoCellAnchor>
    <xdr:from>
      <xdr:col>12</xdr:col>
      <xdr:colOff>508000</xdr:colOff>
      <xdr:row>7</xdr:row>
      <xdr:rowOff>148167</xdr:rowOff>
    </xdr:from>
    <xdr:to>
      <xdr:col>17</xdr:col>
      <xdr:colOff>423333</xdr:colOff>
      <xdr:row>13</xdr:row>
      <xdr:rowOff>127001</xdr:rowOff>
    </xdr:to>
    <xdr:sp macro="" textlink="">
      <xdr:nvSpPr>
        <xdr:cNvPr id="13" name="TextBox 12">
          <a:extLst>
            <a:ext uri="{FF2B5EF4-FFF2-40B4-BE49-F238E27FC236}">
              <a16:creationId xmlns:a16="http://schemas.microsoft.com/office/drawing/2014/main" id="{7D5D9D23-0B00-406A-B711-114F1D9CA2A8}"/>
            </a:ext>
          </a:extLst>
        </xdr:cNvPr>
        <xdr:cNvSpPr txBox="1"/>
      </xdr:nvSpPr>
      <xdr:spPr>
        <a:xfrm>
          <a:off x="7874000" y="1481667"/>
          <a:ext cx="2984500" cy="1121834"/>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CC00CC"/>
              </a:solidFill>
              <a:effectLst/>
              <a:latin typeface="+mn-lt"/>
              <a:ea typeface="+mn-ea"/>
              <a:cs typeface="+mn-cs"/>
            </a:rPr>
            <a:t>Average</a:t>
          </a:r>
          <a:r>
            <a:rPr lang="en-IN" sz="1800" b="1" i="1" baseline="0">
              <a:solidFill>
                <a:srgbClr val="CC00CC"/>
              </a:solidFill>
              <a:effectLst/>
              <a:latin typeface="+mn-lt"/>
              <a:ea typeface="+mn-ea"/>
              <a:cs typeface="+mn-cs"/>
            </a:rPr>
            <a:t> of current_stock</a:t>
          </a:r>
          <a:r>
            <a:rPr lang="en-IN" sz="1800" b="1" i="1">
              <a:solidFill>
                <a:srgbClr val="CC00CC"/>
              </a:solidFill>
              <a:effectLst/>
              <a:latin typeface="+mn-lt"/>
              <a:ea typeface="+mn-ea"/>
              <a:cs typeface="+mn-cs"/>
            </a:rPr>
            <a:t>:</a:t>
          </a:r>
          <a:endParaRPr lang="en-IN" sz="1800">
            <a:solidFill>
              <a:srgbClr val="CC00CC"/>
            </a:solidFill>
            <a:effectLst/>
          </a:endParaRPr>
        </a:p>
        <a:p>
          <a:pPr algn="ctr"/>
          <a:r>
            <a:rPr lang="en-IN" sz="2600" b="1" i="0">
              <a:solidFill>
                <a:srgbClr val="660066"/>
              </a:solidFill>
              <a:effectLst/>
              <a:latin typeface="+mn-lt"/>
              <a:ea typeface="+mn-ea"/>
              <a:cs typeface="+mn-cs"/>
            </a:rPr>
            <a:t>55.28283 </a:t>
          </a:r>
          <a:r>
            <a:rPr lang="en-IN" sz="2600" b="1">
              <a:solidFill>
                <a:srgbClr val="660066"/>
              </a:solidFill>
              <a:effectLst/>
              <a:latin typeface="+mn-lt"/>
              <a:ea typeface="+mn-ea"/>
              <a:cs typeface="+mn-cs"/>
            </a:rPr>
            <a:t> </a:t>
          </a:r>
          <a:endParaRPr lang="en-IN" sz="2600">
            <a:solidFill>
              <a:srgbClr val="660066"/>
            </a:solidFill>
            <a:effectLst/>
          </a:endParaRPr>
        </a:p>
        <a:p>
          <a:endParaRPr lang="en-IN" sz="1100"/>
        </a:p>
      </xdr:txBody>
    </xdr:sp>
    <xdr:clientData/>
  </xdr:twoCellAnchor>
  <xdr:twoCellAnchor>
    <xdr:from>
      <xdr:col>18</xdr:col>
      <xdr:colOff>105832</xdr:colOff>
      <xdr:row>7</xdr:row>
      <xdr:rowOff>169333</xdr:rowOff>
    </xdr:from>
    <xdr:to>
      <xdr:col>23</xdr:col>
      <xdr:colOff>126998</xdr:colOff>
      <xdr:row>13</xdr:row>
      <xdr:rowOff>73506</xdr:rowOff>
    </xdr:to>
    <xdr:sp macro="" textlink="">
      <xdr:nvSpPr>
        <xdr:cNvPr id="14" name="TextBox 13">
          <a:extLst>
            <a:ext uri="{FF2B5EF4-FFF2-40B4-BE49-F238E27FC236}">
              <a16:creationId xmlns:a16="http://schemas.microsoft.com/office/drawing/2014/main" id="{584B3562-8FC8-40FF-8211-45B06E7BC383}"/>
            </a:ext>
          </a:extLst>
        </xdr:cNvPr>
        <xdr:cNvSpPr txBox="1"/>
      </xdr:nvSpPr>
      <xdr:spPr>
        <a:xfrm>
          <a:off x="11154832" y="1502833"/>
          <a:ext cx="3090333" cy="1047173"/>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CC00CC"/>
              </a:solidFill>
              <a:effectLst/>
              <a:latin typeface="+mn-lt"/>
              <a:ea typeface="+mn-ea"/>
              <a:cs typeface="+mn-cs"/>
            </a:rPr>
            <a:t>Total</a:t>
          </a:r>
          <a:r>
            <a:rPr lang="en-IN" sz="1800" b="1" i="1" baseline="0">
              <a:solidFill>
                <a:srgbClr val="CC00CC"/>
              </a:solidFill>
              <a:effectLst/>
              <a:latin typeface="+mn-lt"/>
              <a:ea typeface="+mn-ea"/>
              <a:cs typeface="+mn-cs"/>
            </a:rPr>
            <a:t> sum of current_stock</a:t>
          </a:r>
          <a:r>
            <a:rPr lang="en-IN" sz="1800" b="1" i="1">
              <a:solidFill>
                <a:srgbClr val="CC00CC"/>
              </a:solidFill>
              <a:effectLst/>
              <a:latin typeface="+mn-lt"/>
              <a:ea typeface="+mn-ea"/>
              <a:cs typeface="+mn-cs"/>
            </a:rPr>
            <a:t>:</a:t>
          </a:r>
          <a:endParaRPr lang="en-IN" sz="1800">
            <a:solidFill>
              <a:srgbClr val="CC00CC"/>
            </a:solidFill>
            <a:effectLst/>
          </a:endParaRPr>
        </a:p>
        <a:p>
          <a:pPr algn="ctr"/>
          <a:r>
            <a:rPr lang="en-IN" sz="2600" b="1" i="0">
              <a:solidFill>
                <a:srgbClr val="660066"/>
              </a:solidFill>
              <a:effectLst/>
              <a:latin typeface="+mn-lt"/>
              <a:ea typeface="+mn-ea"/>
              <a:cs typeface="+mn-cs"/>
            </a:rPr>
            <a:t>5473</a:t>
          </a:r>
          <a:endParaRPr lang="en-IN" sz="1100"/>
        </a:p>
      </xdr:txBody>
    </xdr:sp>
    <xdr:clientData/>
  </xdr:twoCellAnchor>
  <xdr:twoCellAnchor>
    <xdr:from>
      <xdr:col>23</xdr:col>
      <xdr:colOff>465666</xdr:colOff>
      <xdr:row>7</xdr:row>
      <xdr:rowOff>127000</xdr:rowOff>
    </xdr:from>
    <xdr:to>
      <xdr:col>28</xdr:col>
      <xdr:colOff>571500</xdr:colOff>
      <xdr:row>13</xdr:row>
      <xdr:rowOff>63500</xdr:rowOff>
    </xdr:to>
    <xdr:sp macro="" textlink="">
      <xdr:nvSpPr>
        <xdr:cNvPr id="15" name="TextBox 14">
          <a:extLst>
            <a:ext uri="{FF2B5EF4-FFF2-40B4-BE49-F238E27FC236}">
              <a16:creationId xmlns:a16="http://schemas.microsoft.com/office/drawing/2014/main" id="{A3D9F92A-632C-4A2E-84F7-7959CB22A206}"/>
            </a:ext>
          </a:extLst>
        </xdr:cNvPr>
        <xdr:cNvSpPr txBox="1"/>
      </xdr:nvSpPr>
      <xdr:spPr>
        <a:xfrm>
          <a:off x="14583833" y="1460500"/>
          <a:ext cx="3175000" cy="1079500"/>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CC00CC"/>
              </a:solidFill>
              <a:effectLst/>
              <a:latin typeface="+mn-lt"/>
              <a:ea typeface="+mn-ea"/>
              <a:cs typeface="+mn-cs"/>
            </a:rPr>
            <a:t>Total</a:t>
          </a:r>
          <a:r>
            <a:rPr lang="en-IN" sz="1800" b="1" i="1" baseline="0">
              <a:solidFill>
                <a:srgbClr val="CC00CC"/>
              </a:solidFill>
              <a:effectLst/>
              <a:latin typeface="+mn-lt"/>
              <a:ea typeface="+mn-ea"/>
              <a:cs typeface="+mn-cs"/>
            </a:rPr>
            <a:t> sum of re-order_level</a:t>
          </a:r>
          <a:r>
            <a:rPr lang="en-IN" sz="1800" b="1" i="1">
              <a:solidFill>
                <a:srgbClr val="CC00CC"/>
              </a:solidFill>
              <a:effectLst/>
              <a:latin typeface="+mn-lt"/>
              <a:ea typeface="+mn-ea"/>
              <a:cs typeface="+mn-cs"/>
            </a:rPr>
            <a:t>:</a:t>
          </a:r>
          <a:endParaRPr lang="en-IN" sz="1800">
            <a:solidFill>
              <a:srgbClr val="CC00CC"/>
            </a:solidFill>
            <a:effectLst/>
          </a:endParaRPr>
        </a:p>
        <a:p>
          <a:pPr algn="ctr"/>
          <a:r>
            <a:rPr lang="en-IN" sz="2600" b="1" i="0">
              <a:solidFill>
                <a:srgbClr val="660066"/>
              </a:solidFill>
              <a:effectLst/>
              <a:latin typeface="+mn-lt"/>
              <a:ea typeface="+mn-ea"/>
              <a:cs typeface="+mn-cs"/>
            </a:rPr>
            <a:t>5331</a:t>
          </a:r>
          <a:endParaRPr lang="en-IN" sz="1100"/>
        </a:p>
      </xdr:txBody>
    </xdr:sp>
    <xdr:clientData/>
  </xdr:twoCellAnchor>
  <xdr:twoCellAnchor>
    <xdr:from>
      <xdr:col>18</xdr:col>
      <xdr:colOff>190500</xdr:colOff>
      <xdr:row>14</xdr:row>
      <xdr:rowOff>148165</xdr:rowOff>
    </xdr:from>
    <xdr:to>
      <xdr:col>28</xdr:col>
      <xdr:colOff>592667</xdr:colOff>
      <xdr:row>37</xdr:row>
      <xdr:rowOff>148166</xdr:rowOff>
    </xdr:to>
    <xdr:graphicFrame macro="">
      <xdr:nvGraphicFramePr>
        <xdr:cNvPr id="24" name="Chart 23">
          <a:extLst>
            <a:ext uri="{FF2B5EF4-FFF2-40B4-BE49-F238E27FC236}">
              <a16:creationId xmlns:a16="http://schemas.microsoft.com/office/drawing/2014/main" id="{B6C61452-02E7-47D9-9B08-F41F926C1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89958</xdr:colOff>
      <xdr:row>14</xdr:row>
      <xdr:rowOff>169333</xdr:rowOff>
    </xdr:from>
    <xdr:to>
      <xdr:col>17</xdr:col>
      <xdr:colOff>592665</xdr:colOff>
      <xdr:row>37</xdr:row>
      <xdr:rowOff>105833</xdr:rowOff>
    </xdr:to>
    <xdr:graphicFrame macro="">
      <xdr:nvGraphicFramePr>
        <xdr:cNvPr id="25" name="Chart 24">
          <a:extLst>
            <a:ext uri="{FF2B5EF4-FFF2-40B4-BE49-F238E27FC236}">
              <a16:creationId xmlns:a16="http://schemas.microsoft.com/office/drawing/2014/main" id="{92857805-3382-4209-83CD-12A410AAB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280459</xdr:colOff>
      <xdr:row>21</xdr:row>
      <xdr:rowOff>63500</xdr:rowOff>
    </xdr:from>
    <xdr:to>
      <xdr:col>6</xdr:col>
      <xdr:colOff>465667</xdr:colOff>
      <xdr:row>37</xdr:row>
      <xdr:rowOff>84667</xdr:rowOff>
    </xdr:to>
    <mc:AlternateContent xmlns:mc="http://schemas.openxmlformats.org/markup-compatibility/2006">
      <mc:Choice xmlns:a14="http://schemas.microsoft.com/office/drawing/2010/main" Requires="a14">
        <xdr:graphicFrame macro="">
          <xdr:nvGraphicFramePr>
            <xdr:cNvPr id="26" name="Reorder_Level 3">
              <a:extLst>
                <a:ext uri="{FF2B5EF4-FFF2-40B4-BE49-F238E27FC236}">
                  <a16:creationId xmlns:a16="http://schemas.microsoft.com/office/drawing/2014/main" id="{C1142881-9349-4F83-896D-3753794DD0DC}"/>
                </a:ext>
              </a:extLst>
            </xdr:cNvPr>
            <xdr:cNvGraphicFramePr/>
          </xdr:nvGraphicFramePr>
          <xdr:xfrm>
            <a:off x="0" y="0"/>
            <a:ext cx="0" cy="0"/>
          </xdr:xfrm>
          <a:graphic>
            <a:graphicData uri="http://schemas.microsoft.com/office/drawing/2010/slicer">
              <sle:slicer xmlns:sle="http://schemas.microsoft.com/office/drawing/2010/slicer" name="Reorder_Level 3"/>
            </a:graphicData>
          </a:graphic>
        </xdr:graphicFrame>
      </mc:Choice>
      <mc:Fallback>
        <xdr:sp macro="" textlink="">
          <xdr:nvSpPr>
            <xdr:cNvPr id="0" name=""/>
            <xdr:cNvSpPr>
              <a:spLocks noTextEdit="1"/>
            </xdr:cNvSpPr>
          </xdr:nvSpPr>
          <xdr:spPr>
            <a:xfrm>
              <a:off x="2121959" y="4064000"/>
              <a:ext cx="2026708" cy="3069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322791</xdr:colOff>
      <xdr:row>5</xdr:row>
      <xdr:rowOff>0</xdr:rowOff>
    </xdr:from>
    <xdr:to>
      <xdr:col>6</xdr:col>
      <xdr:colOff>486832</xdr:colOff>
      <xdr:row>20</xdr:row>
      <xdr:rowOff>26459</xdr:rowOff>
    </xdr:to>
    <mc:AlternateContent xmlns:mc="http://schemas.openxmlformats.org/markup-compatibility/2006">
      <mc:Choice xmlns:a14="http://schemas.microsoft.com/office/drawing/2010/main" Requires="a14">
        <xdr:graphicFrame macro="">
          <xdr:nvGraphicFramePr>
            <xdr:cNvPr id="27" name="Current_stock 1">
              <a:extLst>
                <a:ext uri="{FF2B5EF4-FFF2-40B4-BE49-F238E27FC236}">
                  <a16:creationId xmlns:a16="http://schemas.microsoft.com/office/drawing/2014/main" id="{A29F4200-D756-4389-813F-D7DB39FDFFDB}"/>
                </a:ext>
              </a:extLst>
            </xdr:cNvPr>
            <xdr:cNvGraphicFramePr/>
          </xdr:nvGraphicFramePr>
          <xdr:xfrm>
            <a:off x="0" y="0"/>
            <a:ext cx="0" cy="0"/>
          </xdr:xfrm>
          <a:graphic>
            <a:graphicData uri="http://schemas.microsoft.com/office/drawing/2010/slicer">
              <sle:slicer xmlns:sle="http://schemas.microsoft.com/office/drawing/2010/slicer" name="Current_stock 1"/>
            </a:graphicData>
          </a:graphic>
        </xdr:graphicFrame>
      </mc:Choice>
      <mc:Fallback>
        <xdr:sp macro="" textlink="">
          <xdr:nvSpPr>
            <xdr:cNvPr id="0" name=""/>
            <xdr:cNvSpPr>
              <a:spLocks noTextEdit="1"/>
            </xdr:cNvSpPr>
          </xdr:nvSpPr>
          <xdr:spPr>
            <a:xfrm>
              <a:off x="2164291" y="952500"/>
              <a:ext cx="2005541" cy="288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39</xdr:row>
      <xdr:rowOff>42906</xdr:rowOff>
    </xdr:to>
    <xdr:sp macro="" textlink="">
      <xdr:nvSpPr>
        <xdr:cNvPr id="2" name="Rectangle 1">
          <a:extLst>
            <a:ext uri="{FF2B5EF4-FFF2-40B4-BE49-F238E27FC236}">
              <a16:creationId xmlns:a16="http://schemas.microsoft.com/office/drawing/2014/main" id="{5E8B77B9-3ECB-43A5-9224-C0A4F1D8399E}"/>
            </a:ext>
          </a:extLst>
        </xdr:cNvPr>
        <xdr:cNvSpPr/>
      </xdr:nvSpPr>
      <xdr:spPr>
        <a:xfrm>
          <a:off x="0" y="0"/>
          <a:ext cx="17678400" cy="747240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68792</xdr:colOff>
      <xdr:row>0</xdr:row>
      <xdr:rowOff>0</xdr:rowOff>
    </xdr:from>
    <xdr:to>
      <xdr:col>29</xdr:col>
      <xdr:colOff>135347</xdr:colOff>
      <xdr:row>38</xdr:row>
      <xdr:rowOff>85187</xdr:rowOff>
    </xdr:to>
    <xdr:sp macro="" textlink="">
      <xdr:nvSpPr>
        <xdr:cNvPr id="3" name="Rectangle 2">
          <a:extLst>
            <a:ext uri="{FF2B5EF4-FFF2-40B4-BE49-F238E27FC236}">
              <a16:creationId xmlns:a16="http://schemas.microsoft.com/office/drawing/2014/main" id="{21A11CA4-4949-4427-8733-65B8833D7F72}"/>
            </a:ext>
          </a:extLst>
        </xdr:cNvPr>
        <xdr:cNvSpPr/>
      </xdr:nvSpPr>
      <xdr:spPr>
        <a:xfrm>
          <a:off x="1897592" y="0"/>
          <a:ext cx="15916155" cy="7324187"/>
        </a:xfrm>
        <a:prstGeom prst="rect">
          <a:avLst/>
        </a:prstGeom>
        <a:solidFill>
          <a:schemeClr val="accent4">
            <a:lumMod val="20000"/>
            <a:lumOff val="80000"/>
          </a:schemeClr>
        </a:solidFill>
        <a:effectLst>
          <a:glow rad="63500">
            <a:schemeClr val="accent4">
              <a:satMod val="175000"/>
              <a:alpha val="40000"/>
            </a:schemeClr>
          </a:glow>
          <a:outerShdw blurRad="50800" dist="38100" dir="8100000" algn="tr" rotWithShape="0">
            <a:prstClr val="black">
              <a:alpha val="40000"/>
            </a:prstClr>
          </a:outerShdw>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i="1">
            <a:solidFill>
              <a:srgbClr val="CC00CC"/>
            </a:solidFill>
          </a:endParaRPr>
        </a:p>
      </xdr:txBody>
    </xdr:sp>
    <xdr:clientData/>
  </xdr:twoCellAnchor>
  <xdr:twoCellAnchor>
    <xdr:from>
      <xdr:col>0</xdr:col>
      <xdr:colOff>73859</xdr:colOff>
      <xdr:row>11</xdr:row>
      <xdr:rowOff>82721</xdr:rowOff>
    </xdr:from>
    <xdr:to>
      <xdr:col>2</xdr:col>
      <xdr:colOff>371756</xdr:colOff>
      <xdr:row>15</xdr:row>
      <xdr:rowOff>54232</xdr:rowOff>
    </xdr:to>
    <xdr:sp macro="" textlink="">
      <xdr:nvSpPr>
        <xdr:cNvPr id="4" name="TextBox 3">
          <a:hlinkClick xmlns:r="http://schemas.openxmlformats.org/officeDocument/2006/relationships" r:id="rId1"/>
          <a:extLst>
            <a:ext uri="{FF2B5EF4-FFF2-40B4-BE49-F238E27FC236}">
              <a16:creationId xmlns:a16="http://schemas.microsoft.com/office/drawing/2014/main" id="{797FF704-D30F-4F42-AB68-79C880E12E2E}"/>
            </a:ext>
          </a:extLst>
        </xdr:cNvPr>
        <xdr:cNvSpPr txBox="1"/>
      </xdr:nvSpPr>
      <xdr:spPr>
        <a:xfrm>
          <a:off x="73859" y="2178221"/>
          <a:ext cx="1517097" cy="73351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chemeClr val="tx1">
                  <a:lumMod val="95000"/>
                  <a:lumOff val="5000"/>
                </a:schemeClr>
              </a:solidFill>
            </a:rPr>
            <a:t>customers</a:t>
          </a:r>
        </a:p>
        <a:p>
          <a:endParaRPr lang="en-IN" sz="1600" b="1" i="1">
            <a:solidFill>
              <a:schemeClr val="tx1">
                <a:lumMod val="95000"/>
                <a:lumOff val="5000"/>
              </a:schemeClr>
            </a:solidFill>
          </a:endParaRPr>
        </a:p>
      </xdr:txBody>
    </xdr:sp>
    <xdr:clientData/>
  </xdr:twoCellAnchor>
  <xdr:twoCellAnchor>
    <xdr:from>
      <xdr:col>0</xdr:col>
      <xdr:colOff>91587</xdr:colOff>
      <xdr:row>15</xdr:row>
      <xdr:rowOff>168177</xdr:rowOff>
    </xdr:from>
    <xdr:to>
      <xdr:col>2</xdr:col>
      <xdr:colOff>386611</xdr:colOff>
      <xdr:row>19</xdr:row>
      <xdr:rowOff>138187</xdr:rowOff>
    </xdr:to>
    <xdr:sp macro="" textlink="">
      <xdr:nvSpPr>
        <xdr:cNvPr id="5" name="TextBox 4">
          <a:hlinkClick xmlns:r="http://schemas.openxmlformats.org/officeDocument/2006/relationships" r:id="rId2"/>
          <a:extLst>
            <a:ext uri="{FF2B5EF4-FFF2-40B4-BE49-F238E27FC236}">
              <a16:creationId xmlns:a16="http://schemas.microsoft.com/office/drawing/2014/main" id="{AACEE1C5-E8ED-4227-BC6D-B05DEE5CED77}"/>
            </a:ext>
          </a:extLst>
        </xdr:cNvPr>
        <xdr:cNvSpPr txBox="1"/>
      </xdr:nvSpPr>
      <xdr:spPr>
        <a:xfrm>
          <a:off x="91587" y="3025677"/>
          <a:ext cx="1514224" cy="73201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chemeClr val="tx1">
                  <a:lumMod val="95000"/>
                  <a:lumOff val="5000"/>
                </a:schemeClr>
              </a:solidFill>
            </a:rPr>
            <a:t>Products</a:t>
          </a:r>
        </a:p>
      </xdr:txBody>
    </xdr:sp>
    <xdr:clientData/>
  </xdr:twoCellAnchor>
  <xdr:twoCellAnchor>
    <xdr:from>
      <xdr:col>0</xdr:col>
      <xdr:colOff>116159</xdr:colOff>
      <xdr:row>20</xdr:row>
      <xdr:rowOff>136455</xdr:rowOff>
    </xdr:from>
    <xdr:to>
      <xdr:col>2</xdr:col>
      <xdr:colOff>380759</xdr:colOff>
      <xdr:row>25</xdr:row>
      <xdr:rowOff>53575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5658F160-281A-4C5D-B7E8-D105C742AD67}"/>
            </a:ext>
          </a:extLst>
        </xdr:cNvPr>
        <xdr:cNvSpPr txBox="1"/>
      </xdr:nvSpPr>
      <xdr:spPr>
        <a:xfrm>
          <a:off x="116159" y="3946455"/>
          <a:ext cx="1483800" cy="8696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orders</a:t>
          </a:r>
        </a:p>
      </xdr:txBody>
    </xdr:sp>
    <xdr:clientData/>
  </xdr:twoCellAnchor>
  <xdr:twoCellAnchor>
    <xdr:from>
      <xdr:col>0</xdr:col>
      <xdr:colOff>120530</xdr:colOff>
      <xdr:row>25</xdr:row>
      <xdr:rowOff>157955</xdr:rowOff>
    </xdr:from>
    <xdr:to>
      <xdr:col>2</xdr:col>
      <xdr:colOff>352219</xdr:colOff>
      <xdr:row>30</xdr:row>
      <xdr:rowOff>75074</xdr:rowOff>
    </xdr:to>
    <xdr:sp macro="" textlink="">
      <xdr:nvSpPr>
        <xdr:cNvPr id="7" name="TextBox 6">
          <a:hlinkClick xmlns:r="http://schemas.openxmlformats.org/officeDocument/2006/relationships" r:id="rId4"/>
          <a:extLst>
            <a:ext uri="{FF2B5EF4-FFF2-40B4-BE49-F238E27FC236}">
              <a16:creationId xmlns:a16="http://schemas.microsoft.com/office/drawing/2014/main" id="{D2DD60D7-02A3-4686-98CE-430A53C2201C}"/>
            </a:ext>
          </a:extLst>
        </xdr:cNvPr>
        <xdr:cNvSpPr txBox="1"/>
      </xdr:nvSpPr>
      <xdr:spPr>
        <a:xfrm>
          <a:off x="120530" y="4920455"/>
          <a:ext cx="1450889" cy="86961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Inventory</a:t>
          </a:r>
        </a:p>
      </xdr:txBody>
    </xdr:sp>
    <xdr:clientData/>
  </xdr:twoCellAnchor>
  <xdr:twoCellAnchor>
    <xdr:from>
      <xdr:col>0</xdr:col>
      <xdr:colOff>105393</xdr:colOff>
      <xdr:row>31</xdr:row>
      <xdr:rowOff>59719</xdr:rowOff>
    </xdr:from>
    <xdr:to>
      <xdr:col>2</xdr:col>
      <xdr:colOff>337082</xdr:colOff>
      <xdr:row>35</xdr:row>
      <xdr:rowOff>162692</xdr:rowOff>
    </xdr:to>
    <xdr:sp macro="" textlink="">
      <xdr:nvSpPr>
        <xdr:cNvPr id="8" name="TextBox 7">
          <a:extLst>
            <a:ext uri="{FF2B5EF4-FFF2-40B4-BE49-F238E27FC236}">
              <a16:creationId xmlns:a16="http://schemas.microsoft.com/office/drawing/2014/main" id="{07B78687-1B30-41AE-BB1F-6229B26D6BB1}"/>
            </a:ext>
          </a:extLst>
        </xdr:cNvPr>
        <xdr:cNvSpPr txBox="1"/>
      </xdr:nvSpPr>
      <xdr:spPr>
        <a:xfrm>
          <a:off x="105393" y="5965219"/>
          <a:ext cx="1450889" cy="86497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Sales</a:t>
          </a:r>
        </a:p>
      </xdr:txBody>
    </xdr:sp>
    <xdr:clientData/>
  </xdr:twoCellAnchor>
  <xdr:twoCellAnchor>
    <xdr:from>
      <xdr:col>12</xdr:col>
      <xdr:colOff>219807</xdr:colOff>
      <xdr:row>1</xdr:row>
      <xdr:rowOff>0</xdr:rowOff>
    </xdr:from>
    <xdr:to>
      <xdr:col>19</xdr:col>
      <xdr:colOff>128220</xdr:colOff>
      <xdr:row>5</xdr:row>
      <xdr:rowOff>102974</xdr:rowOff>
    </xdr:to>
    <xdr:sp macro="" textlink="">
      <xdr:nvSpPr>
        <xdr:cNvPr id="9" name="TextBox 8">
          <a:extLst>
            <a:ext uri="{FF2B5EF4-FFF2-40B4-BE49-F238E27FC236}">
              <a16:creationId xmlns:a16="http://schemas.microsoft.com/office/drawing/2014/main" id="{C63844D5-CA05-484D-AB09-679F772EEB9E}"/>
            </a:ext>
          </a:extLst>
        </xdr:cNvPr>
        <xdr:cNvSpPr txBox="1"/>
      </xdr:nvSpPr>
      <xdr:spPr>
        <a:xfrm>
          <a:off x="7535007" y="190500"/>
          <a:ext cx="4175613" cy="864974"/>
        </a:xfrm>
        <a:prstGeom prst="rect">
          <a:avLst/>
        </a:prstGeom>
        <a:solidFill>
          <a:schemeClr val="accent4">
            <a:lumMod val="20000"/>
            <a:lumOff val="80000"/>
          </a:schemeClr>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200" b="1" i="1">
              <a:solidFill>
                <a:srgbClr val="660066"/>
              </a:solidFill>
              <a:effectLst>
                <a:outerShdw blurRad="50800" dist="38100" dir="10800000" algn="r" rotWithShape="0">
                  <a:prstClr val="black">
                    <a:alpha val="40000"/>
                  </a:prstClr>
                </a:outerShdw>
              </a:effectLst>
              <a:latin typeface="+mn-lt"/>
              <a:ea typeface="+mn-ea"/>
              <a:cs typeface="+mn-cs"/>
            </a:rPr>
            <a:t>SALES</a:t>
          </a:r>
          <a:r>
            <a:rPr lang="en-IN" sz="3200" b="1" i="1" baseline="0">
              <a:solidFill>
                <a:srgbClr val="660066"/>
              </a:solidFill>
              <a:effectLst>
                <a:outerShdw blurRad="50800" dist="38100" dir="10800000" algn="r" rotWithShape="0">
                  <a:prstClr val="black">
                    <a:alpha val="40000"/>
                  </a:prstClr>
                </a:outerShdw>
              </a:effectLst>
              <a:latin typeface="+mn-lt"/>
              <a:ea typeface="+mn-ea"/>
              <a:cs typeface="+mn-cs"/>
            </a:rPr>
            <a:t> TARGET</a:t>
          </a:r>
          <a:endParaRPr lang="en-IN" sz="1100">
            <a:solidFill>
              <a:srgbClr val="660066"/>
            </a:solidFill>
          </a:endParaRPr>
        </a:p>
      </xdr:txBody>
    </xdr:sp>
    <xdr:clientData/>
  </xdr:twoCellAnchor>
  <xdr:twoCellAnchor>
    <xdr:from>
      <xdr:col>7</xdr:col>
      <xdr:colOff>105834</xdr:colOff>
      <xdr:row>7</xdr:row>
      <xdr:rowOff>169334</xdr:rowOff>
    </xdr:from>
    <xdr:to>
      <xdr:col>12</xdr:col>
      <xdr:colOff>211666</xdr:colOff>
      <xdr:row>13</xdr:row>
      <xdr:rowOff>105834</xdr:rowOff>
    </xdr:to>
    <xdr:sp macro="" textlink="">
      <xdr:nvSpPr>
        <xdr:cNvPr id="10" name="TextBox 9">
          <a:extLst>
            <a:ext uri="{FF2B5EF4-FFF2-40B4-BE49-F238E27FC236}">
              <a16:creationId xmlns:a16="http://schemas.microsoft.com/office/drawing/2014/main" id="{344B3CD9-A6B9-4176-96A0-78806FCE297A}"/>
            </a:ext>
          </a:extLst>
        </xdr:cNvPr>
        <xdr:cNvSpPr txBox="1"/>
      </xdr:nvSpPr>
      <xdr:spPr>
        <a:xfrm>
          <a:off x="4373034" y="1502834"/>
          <a:ext cx="3153832" cy="1079500"/>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solidFill>
                <a:srgbClr val="FF9900"/>
              </a:solidFill>
              <a:effectLst/>
              <a:latin typeface="+mn-lt"/>
              <a:ea typeface="+mn-ea"/>
              <a:cs typeface="+mn-cs"/>
            </a:rPr>
            <a:t>USING</a:t>
          </a:r>
          <a:r>
            <a:rPr lang="en-IN" sz="1600" b="1" i="1" baseline="0">
              <a:solidFill>
                <a:srgbClr val="FF9900"/>
              </a:solidFill>
              <a:effectLst/>
              <a:latin typeface="+mn-lt"/>
              <a:ea typeface="+mn-ea"/>
              <a:cs typeface="+mn-cs"/>
            </a:rPr>
            <a:t> HLOOKUP</a:t>
          </a:r>
          <a:r>
            <a:rPr lang="en-IN" sz="1600" b="1" i="1">
              <a:solidFill>
                <a:srgbClr val="FF9900"/>
              </a:solidFill>
              <a:effectLst/>
              <a:latin typeface="+mn-lt"/>
              <a:ea typeface="+mn-ea"/>
              <a:cs typeface="+mn-cs"/>
            </a:rPr>
            <a:t>:</a:t>
          </a:r>
          <a:endParaRPr lang="en-IN" sz="1600">
            <a:solidFill>
              <a:srgbClr val="FF9900"/>
            </a:solidFill>
            <a:effectLst/>
          </a:endParaRPr>
        </a:p>
        <a:p>
          <a:pPr algn="ctr"/>
          <a:r>
            <a:rPr lang="en-IN" sz="2600" b="1" i="0">
              <a:solidFill>
                <a:schemeClr val="accent4">
                  <a:lumMod val="75000"/>
                </a:schemeClr>
              </a:solidFill>
              <a:effectLst/>
              <a:latin typeface="+mn-lt"/>
              <a:ea typeface="+mn-ea"/>
              <a:cs typeface="+mn-cs"/>
            </a:rPr>
            <a:t>49000</a:t>
          </a:r>
          <a:endParaRPr lang="en-IN" sz="1100">
            <a:solidFill>
              <a:schemeClr val="accent4">
                <a:lumMod val="75000"/>
              </a:schemeClr>
            </a:solidFill>
          </a:endParaRPr>
        </a:p>
      </xdr:txBody>
    </xdr:sp>
    <xdr:clientData/>
  </xdr:twoCellAnchor>
  <xdr:twoCellAnchor>
    <xdr:from>
      <xdr:col>12</xdr:col>
      <xdr:colOff>508000</xdr:colOff>
      <xdr:row>7</xdr:row>
      <xdr:rowOff>148167</xdr:rowOff>
    </xdr:from>
    <xdr:to>
      <xdr:col>17</xdr:col>
      <xdr:colOff>423333</xdr:colOff>
      <xdr:row>13</xdr:row>
      <xdr:rowOff>127001</xdr:rowOff>
    </xdr:to>
    <xdr:sp macro="" textlink="">
      <xdr:nvSpPr>
        <xdr:cNvPr id="11" name="TextBox 10">
          <a:extLst>
            <a:ext uri="{FF2B5EF4-FFF2-40B4-BE49-F238E27FC236}">
              <a16:creationId xmlns:a16="http://schemas.microsoft.com/office/drawing/2014/main" id="{029A8DFE-39C9-4A46-ACAA-75133A3E117D}"/>
            </a:ext>
          </a:extLst>
        </xdr:cNvPr>
        <xdr:cNvSpPr txBox="1"/>
      </xdr:nvSpPr>
      <xdr:spPr>
        <a:xfrm>
          <a:off x="7823200" y="1481667"/>
          <a:ext cx="2963333" cy="1121834"/>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FF9900"/>
              </a:solidFill>
              <a:effectLst/>
              <a:latin typeface="+mn-lt"/>
              <a:ea typeface="+mn-ea"/>
              <a:cs typeface="+mn-cs"/>
            </a:rPr>
            <a:t>USING</a:t>
          </a:r>
          <a:r>
            <a:rPr lang="en-IN" sz="1800" b="1" i="1" baseline="0">
              <a:solidFill>
                <a:srgbClr val="FF9900"/>
              </a:solidFill>
              <a:effectLst/>
              <a:latin typeface="+mn-lt"/>
              <a:ea typeface="+mn-ea"/>
              <a:cs typeface="+mn-cs"/>
            </a:rPr>
            <a:t> VLOOKUP:</a:t>
          </a:r>
          <a:endParaRPr lang="en-IN" sz="1800">
            <a:solidFill>
              <a:srgbClr val="FF9900"/>
            </a:solidFill>
            <a:effectLst/>
          </a:endParaRPr>
        </a:p>
        <a:p>
          <a:pPr algn="ctr"/>
          <a:r>
            <a:rPr lang="en-IN" sz="2600" b="1" i="0">
              <a:solidFill>
                <a:schemeClr val="accent4">
                  <a:lumMod val="75000"/>
                </a:schemeClr>
              </a:solidFill>
              <a:effectLst/>
              <a:latin typeface="+mn-lt"/>
              <a:ea typeface="+mn-ea"/>
              <a:cs typeface="+mn-cs"/>
            </a:rPr>
            <a:t>49000</a:t>
          </a:r>
          <a:r>
            <a:rPr lang="en-IN" sz="2600" b="1" i="0">
              <a:solidFill>
                <a:srgbClr val="660066"/>
              </a:solidFill>
              <a:effectLst/>
              <a:latin typeface="+mn-lt"/>
              <a:ea typeface="+mn-ea"/>
              <a:cs typeface="+mn-cs"/>
            </a:rPr>
            <a:t> </a:t>
          </a:r>
          <a:r>
            <a:rPr lang="en-IN" sz="2600" b="1">
              <a:solidFill>
                <a:srgbClr val="660066"/>
              </a:solidFill>
              <a:effectLst/>
              <a:latin typeface="+mn-lt"/>
              <a:ea typeface="+mn-ea"/>
              <a:cs typeface="+mn-cs"/>
            </a:rPr>
            <a:t> </a:t>
          </a:r>
          <a:endParaRPr lang="en-IN" sz="2600">
            <a:solidFill>
              <a:srgbClr val="660066"/>
            </a:solidFill>
            <a:effectLst/>
          </a:endParaRPr>
        </a:p>
        <a:p>
          <a:endParaRPr lang="en-IN" sz="1100"/>
        </a:p>
      </xdr:txBody>
    </xdr:sp>
    <xdr:clientData/>
  </xdr:twoCellAnchor>
  <xdr:twoCellAnchor>
    <xdr:from>
      <xdr:col>18</xdr:col>
      <xdr:colOff>105832</xdr:colOff>
      <xdr:row>7</xdr:row>
      <xdr:rowOff>169333</xdr:rowOff>
    </xdr:from>
    <xdr:to>
      <xdr:col>23</xdr:col>
      <xdr:colOff>126998</xdr:colOff>
      <xdr:row>13</xdr:row>
      <xdr:rowOff>73506</xdr:rowOff>
    </xdr:to>
    <xdr:sp macro="" textlink="">
      <xdr:nvSpPr>
        <xdr:cNvPr id="12" name="TextBox 11">
          <a:extLst>
            <a:ext uri="{FF2B5EF4-FFF2-40B4-BE49-F238E27FC236}">
              <a16:creationId xmlns:a16="http://schemas.microsoft.com/office/drawing/2014/main" id="{1770A4CC-A190-4E83-B551-AF8EB619767F}"/>
            </a:ext>
          </a:extLst>
        </xdr:cNvPr>
        <xdr:cNvSpPr txBox="1"/>
      </xdr:nvSpPr>
      <xdr:spPr>
        <a:xfrm>
          <a:off x="11078632" y="1502833"/>
          <a:ext cx="3069166" cy="1047173"/>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FF9900"/>
              </a:solidFill>
              <a:effectLst/>
              <a:latin typeface="+mn-lt"/>
              <a:ea typeface="+mn-ea"/>
              <a:cs typeface="+mn-cs"/>
            </a:rPr>
            <a:t>SUM</a:t>
          </a:r>
          <a:r>
            <a:rPr lang="en-IN" sz="1800" b="1" i="1" baseline="0">
              <a:solidFill>
                <a:srgbClr val="FF9900"/>
              </a:solidFill>
              <a:effectLst/>
              <a:latin typeface="+mn-lt"/>
              <a:ea typeface="+mn-ea"/>
              <a:cs typeface="+mn-cs"/>
            </a:rPr>
            <a:t> OF SALES_TARGET:</a:t>
          </a:r>
          <a:endParaRPr lang="en-IN" sz="1800">
            <a:solidFill>
              <a:srgbClr val="FF9900"/>
            </a:solidFill>
            <a:effectLst/>
          </a:endParaRPr>
        </a:p>
        <a:p>
          <a:pPr algn="ctr"/>
          <a:r>
            <a:rPr lang="en-IN" sz="2600" b="1" i="0">
              <a:solidFill>
                <a:schemeClr val="accent4">
                  <a:lumMod val="75000"/>
                </a:schemeClr>
              </a:solidFill>
              <a:effectLst/>
              <a:latin typeface="+mn-lt"/>
              <a:ea typeface="+mn-ea"/>
              <a:cs typeface="+mn-cs"/>
            </a:rPr>
            <a:t>7383000</a:t>
          </a:r>
          <a:endParaRPr lang="en-IN" sz="1100">
            <a:solidFill>
              <a:schemeClr val="accent4">
                <a:lumMod val="75000"/>
              </a:schemeClr>
            </a:solidFill>
          </a:endParaRPr>
        </a:p>
      </xdr:txBody>
    </xdr:sp>
    <xdr:clientData/>
  </xdr:twoCellAnchor>
  <xdr:twoCellAnchor>
    <xdr:from>
      <xdr:col>23</xdr:col>
      <xdr:colOff>465666</xdr:colOff>
      <xdr:row>7</xdr:row>
      <xdr:rowOff>127000</xdr:rowOff>
    </xdr:from>
    <xdr:to>
      <xdr:col>28</xdr:col>
      <xdr:colOff>571500</xdr:colOff>
      <xdr:row>13</xdr:row>
      <xdr:rowOff>63500</xdr:rowOff>
    </xdr:to>
    <xdr:sp macro="" textlink="">
      <xdr:nvSpPr>
        <xdr:cNvPr id="13" name="TextBox 12">
          <a:extLst>
            <a:ext uri="{FF2B5EF4-FFF2-40B4-BE49-F238E27FC236}">
              <a16:creationId xmlns:a16="http://schemas.microsoft.com/office/drawing/2014/main" id="{1C51F500-FEE7-49EC-8FC1-8341B48EC3F7}"/>
            </a:ext>
          </a:extLst>
        </xdr:cNvPr>
        <xdr:cNvSpPr txBox="1"/>
      </xdr:nvSpPr>
      <xdr:spPr>
        <a:xfrm>
          <a:off x="14486466" y="1460500"/>
          <a:ext cx="3153834" cy="1079500"/>
        </a:xfrm>
        <a:prstGeom prst="rect">
          <a:avLst/>
        </a:prstGeom>
        <a:solidFill>
          <a:schemeClr val="bg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rgbClr val="FF9900"/>
              </a:solidFill>
              <a:effectLst/>
              <a:latin typeface="+mn-lt"/>
              <a:ea typeface="+mn-ea"/>
              <a:cs typeface="+mn-cs"/>
            </a:rPr>
            <a:t>MONTH()</a:t>
          </a:r>
          <a:r>
            <a:rPr lang="en-IN" sz="1800" b="1" i="1" baseline="0">
              <a:solidFill>
                <a:srgbClr val="FF9900"/>
              </a:solidFill>
              <a:effectLst/>
              <a:latin typeface="+mn-lt"/>
              <a:ea typeface="+mn-ea"/>
              <a:cs typeface="+mn-cs"/>
            </a:rPr>
            <a:t> FUNCTION:</a:t>
          </a:r>
          <a:endParaRPr lang="en-IN" sz="1800">
            <a:solidFill>
              <a:srgbClr val="FF9900"/>
            </a:solidFill>
            <a:effectLst/>
          </a:endParaRPr>
        </a:p>
        <a:p>
          <a:pPr algn="ctr"/>
          <a:r>
            <a:rPr lang="en-IN" sz="2600" b="1" i="0">
              <a:solidFill>
                <a:schemeClr val="accent4">
                  <a:lumMod val="75000"/>
                </a:schemeClr>
              </a:solidFill>
              <a:effectLst/>
              <a:latin typeface="+mn-lt"/>
              <a:ea typeface="+mn-ea"/>
              <a:cs typeface="+mn-cs"/>
            </a:rPr>
            <a:t>FEB</a:t>
          </a:r>
          <a:r>
            <a:rPr lang="en-IN" sz="2600" b="1" i="0" baseline="0">
              <a:solidFill>
                <a:schemeClr val="accent4">
                  <a:lumMod val="75000"/>
                </a:schemeClr>
              </a:solidFill>
              <a:effectLst/>
              <a:latin typeface="+mn-lt"/>
              <a:ea typeface="+mn-ea"/>
              <a:cs typeface="+mn-cs"/>
            </a:rPr>
            <a:t> = 2</a:t>
          </a:r>
          <a:endParaRPr lang="en-IN" sz="1100">
            <a:solidFill>
              <a:schemeClr val="accent4">
                <a:lumMod val="75000"/>
              </a:schemeClr>
            </a:solidFill>
          </a:endParaRPr>
        </a:p>
      </xdr:txBody>
    </xdr:sp>
    <xdr:clientData/>
  </xdr:twoCellAnchor>
  <xdr:twoCellAnchor editAs="oneCell">
    <xdr:from>
      <xdr:col>3</xdr:col>
      <xdr:colOff>296334</xdr:colOff>
      <xdr:row>5</xdr:row>
      <xdr:rowOff>105833</xdr:rowOff>
    </xdr:from>
    <xdr:to>
      <xdr:col>6</xdr:col>
      <xdr:colOff>283634</xdr:colOff>
      <xdr:row>19</xdr:row>
      <xdr:rowOff>89958</xdr:rowOff>
    </xdr:to>
    <mc:AlternateContent xmlns:mc="http://schemas.openxmlformats.org/markup-compatibility/2006">
      <mc:Choice xmlns:a14="http://schemas.microsoft.com/office/drawing/2010/main" Requires="a14">
        <xdr:graphicFrame macro="">
          <xdr:nvGraphicFramePr>
            <xdr:cNvPr id="22" name="Quarters (Month) 2">
              <a:extLst>
                <a:ext uri="{FF2B5EF4-FFF2-40B4-BE49-F238E27FC236}">
                  <a16:creationId xmlns:a16="http://schemas.microsoft.com/office/drawing/2014/main" id="{03DE1AD9-80DA-4F82-8670-B8CCD910D14C}"/>
                </a:ext>
              </a:extLst>
            </xdr:cNvPr>
            <xdr:cNvGraphicFramePr/>
          </xdr:nvGraphicFramePr>
          <xdr:xfrm>
            <a:off x="0" y="0"/>
            <a:ext cx="0" cy="0"/>
          </xdr:xfrm>
          <a:graphic>
            <a:graphicData uri="http://schemas.microsoft.com/office/drawing/2010/slicer">
              <sle:slicer xmlns:sle="http://schemas.microsoft.com/office/drawing/2010/slicer" name="Quarters (Month) 2"/>
            </a:graphicData>
          </a:graphic>
        </xdr:graphicFrame>
      </mc:Choice>
      <mc:Fallback>
        <xdr:sp macro="" textlink="">
          <xdr:nvSpPr>
            <xdr:cNvPr id="0" name=""/>
            <xdr:cNvSpPr>
              <a:spLocks noTextEdit="1"/>
            </xdr:cNvSpPr>
          </xdr:nvSpPr>
          <xdr:spPr>
            <a:xfrm>
              <a:off x="2137834" y="1058333"/>
              <a:ext cx="1828800" cy="265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310092</xdr:colOff>
      <xdr:row>20</xdr:row>
      <xdr:rowOff>84666</xdr:rowOff>
    </xdr:from>
    <xdr:to>
      <xdr:col>6</xdr:col>
      <xdr:colOff>297392</xdr:colOff>
      <xdr:row>36</xdr:row>
      <xdr:rowOff>63500</xdr:rowOff>
    </xdr:to>
    <mc:AlternateContent xmlns:mc="http://schemas.openxmlformats.org/markup-compatibility/2006">
      <mc:Choice xmlns:a14="http://schemas.microsoft.com/office/drawing/2010/main" Requires="a14">
        <xdr:graphicFrame macro="">
          <xdr:nvGraphicFramePr>
            <xdr:cNvPr id="23" name="Years (Month) 1">
              <a:extLst>
                <a:ext uri="{FF2B5EF4-FFF2-40B4-BE49-F238E27FC236}">
                  <a16:creationId xmlns:a16="http://schemas.microsoft.com/office/drawing/2014/main" id="{C1FDBDE5-FFAF-4AB0-B7A8-9988BA390F8D}"/>
                </a:ext>
              </a:extLst>
            </xdr:cNvPr>
            <xdr:cNvGraphicFramePr/>
          </xdr:nvGraphicFramePr>
          <xdr:xfrm>
            <a:off x="0" y="0"/>
            <a:ext cx="0" cy="0"/>
          </xdr:xfrm>
          <a:graphic>
            <a:graphicData uri="http://schemas.microsoft.com/office/drawing/2010/slicer">
              <sle:slicer xmlns:sle="http://schemas.microsoft.com/office/drawing/2010/slicer" name="Years (Month) 1"/>
            </a:graphicData>
          </a:graphic>
        </xdr:graphicFrame>
      </mc:Choice>
      <mc:Fallback>
        <xdr:sp macro="" textlink="">
          <xdr:nvSpPr>
            <xdr:cNvPr id="0" name=""/>
            <xdr:cNvSpPr>
              <a:spLocks noTextEdit="1"/>
            </xdr:cNvSpPr>
          </xdr:nvSpPr>
          <xdr:spPr>
            <a:xfrm>
              <a:off x="2151592" y="3894666"/>
              <a:ext cx="1828800" cy="3026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571499</xdr:colOff>
      <xdr:row>15</xdr:row>
      <xdr:rowOff>63500</xdr:rowOff>
    </xdr:from>
    <xdr:to>
      <xdr:col>17</xdr:col>
      <xdr:colOff>444499</xdr:colOff>
      <xdr:row>36</xdr:row>
      <xdr:rowOff>43391</xdr:rowOff>
    </xdr:to>
    <xdr:graphicFrame macro="">
      <xdr:nvGraphicFramePr>
        <xdr:cNvPr id="24" name="Chart 23">
          <a:extLst>
            <a:ext uri="{FF2B5EF4-FFF2-40B4-BE49-F238E27FC236}">
              <a16:creationId xmlns:a16="http://schemas.microsoft.com/office/drawing/2014/main" id="{574E3E0B-4362-4BF6-88D1-E8D58341D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77259</xdr:colOff>
      <xdr:row>15</xdr:row>
      <xdr:rowOff>105833</xdr:rowOff>
    </xdr:from>
    <xdr:to>
      <xdr:col>29</xdr:col>
      <xdr:colOff>0</xdr:colOff>
      <xdr:row>35</xdr:row>
      <xdr:rowOff>169333</xdr:rowOff>
    </xdr:to>
    <xdr:graphicFrame macro="">
      <xdr:nvGraphicFramePr>
        <xdr:cNvPr id="25" name="Chart 24">
          <a:extLst>
            <a:ext uri="{FF2B5EF4-FFF2-40B4-BE49-F238E27FC236}">
              <a16:creationId xmlns:a16="http://schemas.microsoft.com/office/drawing/2014/main" id="{711D0C73-AB0A-4598-992C-A5B3F3BAA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516467</xdr:colOff>
      <xdr:row>53</xdr:row>
      <xdr:rowOff>55033</xdr:rowOff>
    </xdr:from>
    <xdr:to>
      <xdr:col>23</xdr:col>
      <xdr:colOff>519642</xdr:colOff>
      <xdr:row>66</xdr:row>
      <xdr:rowOff>171450</xdr:rowOff>
    </xdr:to>
    <mc:AlternateContent xmlns:mc="http://schemas.openxmlformats.org/markup-compatibility/2006">
      <mc:Choice xmlns:a14="http://schemas.microsoft.com/office/drawing/2010/main" Requires="a14">
        <xdr:graphicFrame macro="">
          <xdr:nvGraphicFramePr>
            <xdr:cNvPr id="8" name="Customer ID">
              <a:extLst>
                <a:ext uri="{FF2B5EF4-FFF2-40B4-BE49-F238E27FC236}">
                  <a16:creationId xmlns:a16="http://schemas.microsoft.com/office/drawing/2014/main" id="{9D9C1CAA-B53E-3F2D-870A-81F01F822B04}"/>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dr:sp macro="" textlink="">
          <xdr:nvSpPr>
            <xdr:cNvPr id="0" name=""/>
            <xdr:cNvSpPr>
              <a:spLocks noTextEdit="1"/>
            </xdr:cNvSpPr>
          </xdr:nvSpPr>
          <xdr:spPr>
            <a:xfrm>
              <a:off x="18635134" y="10151533"/>
              <a:ext cx="1844675" cy="2592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331259</xdr:colOff>
      <xdr:row>53</xdr:row>
      <xdr:rowOff>81492</xdr:rowOff>
    </xdr:from>
    <xdr:to>
      <xdr:col>27</xdr:col>
      <xdr:colOff>334434</xdr:colOff>
      <xdr:row>67</xdr:row>
      <xdr:rowOff>12701</xdr:rowOff>
    </xdr:to>
    <mc:AlternateContent xmlns:mc="http://schemas.openxmlformats.org/markup-compatibility/2006">
      <mc:Choice xmlns:a14="http://schemas.microsoft.com/office/drawing/2010/main" Requires="a14">
        <xdr:graphicFrame macro="">
          <xdr:nvGraphicFramePr>
            <xdr:cNvPr id="9" name="Customer Name">
              <a:extLst>
                <a:ext uri="{FF2B5EF4-FFF2-40B4-BE49-F238E27FC236}">
                  <a16:creationId xmlns:a16="http://schemas.microsoft.com/office/drawing/2014/main" id="{72A9F085-D95E-74FA-CB11-DC28F3068A24}"/>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20905259" y="10177992"/>
              <a:ext cx="1844675" cy="2598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225425</xdr:colOff>
      <xdr:row>53</xdr:row>
      <xdr:rowOff>160867</xdr:rowOff>
    </xdr:from>
    <xdr:to>
      <xdr:col>38</xdr:col>
      <xdr:colOff>228601</xdr:colOff>
      <xdr:row>67</xdr:row>
      <xdr:rowOff>92076</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FECEDEE3-3712-AA7A-FB55-D2302521C3B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7551592" y="10257367"/>
              <a:ext cx="1844676" cy="2598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463549</xdr:colOff>
      <xdr:row>53</xdr:row>
      <xdr:rowOff>134408</xdr:rowOff>
    </xdr:from>
    <xdr:to>
      <xdr:col>34</xdr:col>
      <xdr:colOff>466724</xdr:colOff>
      <xdr:row>67</xdr:row>
      <xdr:rowOff>65617</xdr:rowOff>
    </xdr:to>
    <mc:AlternateContent xmlns:mc="http://schemas.openxmlformats.org/markup-compatibility/2006">
      <mc:Choice xmlns:a14="http://schemas.microsoft.com/office/drawing/2010/main" Requires="a14">
        <xdr:graphicFrame macro="">
          <xdr:nvGraphicFramePr>
            <xdr:cNvPr id="11" name="State">
              <a:extLst>
                <a:ext uri="{FF2B5EF4-FFF2-40B4-BE49-F238E27FC236}">
                  <a16:creationId xmlns:a16="http://schemas.microsoft.com/office/drawing/2014/main" id="{713916BC-F10B-87C5-AC66-DEEEAF11F90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5334382" y="10230908"/>
              <a:ext cx="1844675" cy="2598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93134</xdr:colOff>
      <xdr:row>53</xdr:row>
      <xdr:rowOff>107950</xdr:rowOff>
    </xdr:from>
    <xdr:to>
      <xdr:col>31</xdr:col>
      <xdr:colOff>96309</xdr:colOff>
      <xdr:row>67</xdr:row>
      <xdr:rowOff>39159</xdr:rowOff>
    </xdr:to>
    <mc:AlternateContent xmlns:mc="http://schemas.openxmlformats.org/markup-compatibility/2006">
      <mc:Choice xmlns:a14="http://schemas.microsoft.com/office/drawing/2010/main" Requires="a14">
        <xdr:graphicFrame macro="">
          <xdr:nvGraphicFramePr>
            <xdr:cNvPr id="12" name="Segment">
              <a:extLst>
                <a:ext uri="{FF2B5EF4-FFF2-40B4-BE49-F238E27FC236}">
                  <a16:creationId xmlns:a16="http://schemas.microsoft.com/office/drawing/2014/main" id="{E1CC8BC4-87BD-2E17-CE93-68D9E0D48B4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122467" y="10204450"/>
              <a:ext cx="1844675" cy="2598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74083</xdr:colOff>
      <xdr:row>17</xdr:row>
      <xdr:rowOff>25399</xdr:rowOff>
    </xdr:from>
    <xdr:to>
      <xdr:col>26</xdr:col>
      <xdr:colOff>349249</xdr:colOff>
      <xdr:row>31</xdr:row>
      <xdr:rowOff>101599</xdr:rowOff>
    </xdr:to>
    <xdr:graphicFrame macro="">
      <xdr:nvGraphicFramePr>
        <xdr:cNvPr id="13" name="Chart 12">
          <a:extLst>
            <a:ext uri="{FF2B5EF4-FFF2-40B4-BE49-F238E27FC236}">
              <a16:creationId xmlns:a16="http://schemas.microsoft.com/office/drawing/2014/main" id="{056AD356-3F8C-9BA7-227C-9E6965AF2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52916</xdr:colOff>
      <xdr:row>33</xdr:row>
      <xdr:rowOff>131233</xdr:rowOff>
    </xdr:from>
    <xdr:to>
      <xdr:col>26</xdr:col>
      <xdr:colOff>328082</xdr:colOff>
      <xdr:row>48</xdr:row>
      <xdr:rowOff>16933</xdr:rowOff>
    </xdr:to>
    <xdr:graphicFrame macro="">
      <xdr:nvGraphicFramePr>
        <xdr:cNvPr id="14" name="Chart 13">
          <a:extLst>
            <a:ext uri="{FF2B5EF4-FFF2-40B4-BE49-F238E27FC236}">
              <a16:creationId xmlns:a16="http://schemas.microsoft.com/office/drawing/2014/main" id="{B647777B-AE3C-C0F4-8B55-BE70A1663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328083</xdr:colOff>
      <xdr:row>32</xdr:row>
      <xdr:rowOff>131233</xdr:rowOff>
    </xdr:from>
    <xdr:to>
      <xdr:col>34</xdr:col>
      <xdr:colOff>603250</xdr:colOff>
      <xdr:row>47</xdr:row>
      <xdr:rowOff>16933</xdr:rowOff>
    </xdr:to>
    <xdr:graphicFrame macro="">
      <xdr:nvGraphicFramePr>
        <xdr:cNvPr id="15" name="Chart 14">
          <a:extLst>
            <a:ext uri="{FF2B5EF4-FFF2-40B4-BE49-F238E27FC236}">
              <a16:creationId xmlns:a16="http://schemas.microsoft.com/office/drawing/2014/main" id="{7B6A7264-D27A-C3C3-9251-F74D038BA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24</xdr:col>
      <xdr:colOff>0</xdr:colOff>
      <xdr:row>56</xdr:row>
      <xdr:rowOff>0</xdr:rowOff>
    </xdr:from>
    <xdr:to>
      <xdr:col>29</xdr:col>
      <xdr:colOff>423761</xdr:colOff>
      <xdr:row>71</xdr:row>
      <xdr:rowOff>45897</xdr:rowOff>
    </xdr:to>
    <xdr:graphicFrame macro="">
      <xdr:nvGraphicFramePr>
        <xdr:cNvPr id="7" name="Chart 6">
          <a:extLst>
            <a:ext uri="{FF2B5EF4-FFF2-40B4-BE49-F238E27FC236}">
              <a16:creationId xmlns:a16="http://schemas.microsoft.com/office/drawing/2014/main" id="{431DAD7F-D827-4B7B-9812-A17E573A2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791307</xdr:colOff>
      <xdr:row>21</xdr:row>
      <xdr:rowOff>75465</xdr:rowOff>
    </xdr:from>
    <xdr:to>
      <xdr:col>22</xdr:col>
      <xdr:colOff>380999</xdr:colOff>
      <xdr:row>36</xdr:row>
      <xdr:rowOff>71069</xdr:rowOff>
    </xdr:to>
    <xdr:graphicFrame macro="">
      <xdr:nvGraphicFramePr>
        <xdr:cNvPr id="8" name="Chart 7">
          <a:extLst>
            <a:ext uri="{FF2B5EF4-FFF2-40B4-BE49-F238E27FC236}">
              <a16:creationId xmlns:a16="http://schemas.microsoft.com/office/drawing/2014/main" id="{3A464184-A7C0-FAEC-4B8D-6672DCFBD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827943</xdr:colOff>
      <xdr:row>38</xdr:row>
      <xdr:rowOff>112100</xdr:rowOff>
    </xdr:from>
    <xdr:to>
      <xdr:col>22</xdr:col>
      <xdr:colOff>417635</xdr:colOff>
      <xdr:row>53</xdr:row>
      <xdr:rowOff>107704</xdr:rowOff>
    </xdr:to>
    <xdr:graphicFrame macro="">
      <xdr:nvGraphicFramePr>
        <xdr:cNvPr id="9" name="Chart 8">
          <a:extLst>
            <a:ext uri="{FF2B5EF4-FFF2-40B4-BE49-F238E27FC236}">
              <a16:creationId xmlns:a16="http://schemas.microsoft.com/office/drawing/2014/main" id="{FE2B5D6A-815A-C9F2-92E2-9C3128745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644770</xdr:colOff>
      <xdr:row>57</xdr:row>
      <xdr:rowOff>38831</xdr:rowOff>
    </xdr:from>
    <xdr:to>
      <xdr:col>22</xdr:col>
      <xdr:colOff>234462</xdr:colOff>
      <xdr:row>72</xdr:row>
      <xdr:rowOff>34434</xdr:rowOff>
    </xdr:to>
    <xdr:graphicFrame macro="">
      <xdr:nvGraphicFramePr>
        <xdr:cNvPr id="10" name="Chart 9">
          <a:extLst>
            <a:ext uri="{FF2B5EF4-FFF2-40B4-BE49-F238E27FC236}">
              <a16:creationId xmlns:a16="http://schemas.microsoft.com/office/drawing/2014/main" id="{ADCC7F9F-E3D1-9F38-DAE0-85CADB648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140217</xdr:colOff>
      <xdr:row>24</xdr:row>
      <xdr:rowOff>46739</xdr:rowOff>
    </xdr:from>
    <xdr:to>
      <xdr:col>24</xdr:col>
      <xdr:colOff>1082970</xdr:colOff>
      <xdr:row>36</xdr:row>
      <xdr:rowOff>178538</xdr:rowOff>
    </xdr:to>
    <mc:AlternateContent xmlns:mc="http://schemas.openxmlformats.org/markup-compatibility/2006">
      <mc:Choice xmlns:a14="http://schemas.microsoft.com/office/drawing/2010/main" Requires="a14">
        <xdr:graphicFrame macro="">
          <xdr:nvGraphicFramePr>
            <xdr:cNvPr id="11" name="Category 2">
              <a:extLst>
                <a:ext uri="{FF2B5EF4-FFF2-40B4-BE49-F238E27FC236}">
                  <a16:creationId xmlns:a16="http://schemas.microsoft.com/office/drawing/2014/main" id="{05806B2A-3FD7-124A-975A-5768DC5D89A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6300740" y="483139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40536</xdr:colOff>
      <xdr:row>38</xdr:row>
      <xdr:rowOff>190721</xdr:rowOff>
    </xdr:from>
    <xdr:to>
      <xdr:col>24</xdr:col>
      <xdr:colOff>983289</xdr:colOff>
      <xdr:row>51</xdr:row>
      <xdr:rowOff>123160</xdr:rowOff>
    </xdr:to>
    <mc:AlternateContent xmlns:mc="http://schemas.openxmlformats.org/markup-compatibility/2006">
      <mc:Choice xmlns:a14="http://schemas.microsoft.com/office/drawing/2010/main" Requires="a14">
        <xdr:graphicFrame macro="">
          <xdr:nvGraphicFramePr>
            <xdr:cNvPr id="12" name="Unit_Price 2">
              <a:extLst>
                <a:ext uri="{FF2B5EF4-FFF2-40B4-BE49-F238E27FC236}">
                  <a16:creationId xmlns:a16="http://schemas.microsoft.com/office/drawing/2014/main" id="{D44011CD-91F6-4017-7CD4-14BD7F40B004}"/>
                </a:ext>
              </a:extLst>
            </xdr:cNvPr>
            <xdr:cNvGraphicFramePr/>
          </xdr:nvGraphicFramePr>
          <xdr:xfrm>
            <a:off x="0" y="0"/>
            <a:ext cx="0" cy="0"/>
          </xdr:xfrm>
          <a:graphic>
            <a:graphicData uri="http://schemas.microsoft.com/office/drawing/2010/slicer">
              <sle:slicer xmlns:sle="http://schemas.microsoft.com/office/drawing/2010/slicer" name="Unit_Price 2"/>
            </a:graphicData>
          </a:graphic>
        </xdr:graphicFrame>
      </mc:Choice>
      <mc:Fallback>
        <xdr:sp macro="" textlink="">
          <xdr:nvSpPr>
            <xdr:cNvPr id="0" name=""/>
            <xdr:cNvSpPr>
              <a:spLocks noTextEdit="1"/>
            </xdr:cNvSpPr>
          </xdr:nvSpPr>
          <xdr:spPr>
            <a:xfrm>
              <a:off x="26201059" y="776641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19</xdr:row>
      <xdr:rowOff>0</xdr:rowOff>
    </xdr:from>
    <xdr:to>
      <xdr:col>31</xdr:col>
      <xdr:colOff>466671</xdr:colOff>
      <xdr:row>32</xdr:row>
      <xdr:rowOff>153889</xdr:rowOff>
    </xdr:to>
    <mc:AlternateContent xmlns:mc="http://schemas.openxmlformats.org/markup-compatibility/2006">
      <mc:Choice xmlns:a14="http://schemas.microsoft.com/office/drawing/2010/main" Requires="a14">
        <xdr:graphicFrame macro="">
          <xdr:nvGraphicFramePr>
            <xdr:cNvPr id="3" name="Order ID">
              <a:extLst>
                <a:ext uri="{FF2B5EF4-FFF2-40B4-BE49-F238E27FC236}">
                  <a16:creationId xmlns:a16="http://schemas.microsoft.com/office/drawing/2014/main" id="{C6474647-EA1C-4652-8EB4-EB55855DEE84}"/>
                </a:ext>
              </a:extLst>
            </xdr:cNvPr>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dr:sp macro="" textlink="">
          <xdr:nvSpPr>
            <xdr:cNvPr id="0" name=""/>
            <xdr:cNvSpPr>
              <a:spLocks noTextEdit="1"/>
            </xdr:cNvSpPr>
          </xdr:nvSpPr>
          <xdr:spPr>
            <a:xfrm>
              <a:off x="24050625" y="3480288"/>
              <a:ext cx="1858786" cy="2535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253999</xdr:colOff>
      <xdr:row>3</xdr:row>
      <xdr:rowOff>125185</xdr:rowOff>
    </xdr:from>
    <xdr:to>
      <xdr:col>41</xdr:col>
      <xdr:colOff>539749</xdr:colOff>
      <xdr:row>18</xdr:row>
      <xdr:rowOff>146957</xdr:rowOff>
    </xdr:to>
    <xdr:graphicFrame macro="">
      <xdr:nvGraphicFramePr>
        <xdr:cNvPr id="7" name="Chart 6">
          <a:extLst>
            <a:ext uri="{FF2B5EF4-FFF2-40B4-BE49-F238E27FC236}">
              <a16:creationId xmlns:a16="http://schemas.microsoft.com/office/drawing/2014/main" id="{2166A280-102A-BA93-2A9C-D8D6A0AAD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299357</xdr:colOff>
      <xdr:row>19</xdr:row>
      <xdr:rowOff>147864</xdr:rowOff>
    </xdr:from>
    <xdr:to>
      <xdr:col>41</xdr:col>
      <xdr:colOff>585107</xdr:colOff>
      <xdr:row>34</xdr:row>
      <xdr:rowOff>169636</xdr:rowOff>
    </xdr:to>
    <xdr:graphicFrame macro="">
      <xdr:nvGraphicFramePr>
        <xdr:cNvPr id="8" name="Chart 7">
          <a:extLst>
            <a:ext uri="{FF2B5EF4-FFF2-40B4-BE49-F238E27FC236}">
              <a16:creationId xmlns:a16="http://schemas.microsoft.com/office/drawing/2014/main" id="{19B53493-FBC9-F066-942F-06AEA297A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159359</xdr:colOff>
      <xdr:row>3</xdr:row>
      <xdr:rowOff>93785</xdr:rowOff>
    </xdr:from>
    <xdr:to>
      <xdr:col>49</xdr:col>
      <xdr:colOff>500061</xdr:colOff>
      <xdr:row>18</xdr:row>
      <xdr:rowOff>89389</xdr:rowOff>
    </xdr:to>
    <xdr:graphicFrame macro="">
      <xdr:nvGraphicFramePr>
        <xdr:cNvPr id="9" name="Chart 8">
          <a:extLst>
            <a:ext uri="{FF2B5EF4-FFF2-40B4-BE49-F238E27FC236}">
              <a16:creationId xmlns:a16="http://schemas.microsoft.com/office/drawing/2014/main" id="{8DD880BC-56E1-4ACD-09BD-341EE08CA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32</xdr:col>
      <xdr:colOff>104042</xdr:colOff>
      <xdr:row>19</xdr:row>
      <xdr:rowOff>169253</xdr:rowOff>
    </xdr:from>
    <xdr:to>
      <xdr:col>33</xdr:col>
      <xdr:colOff>430823</xdr:colOff>
      <xdr:row>33</xdr:row>
      <xdr:rowOff>128954</xdr:rowOff>
    </xdr:to>
    <mc:AlternateContent xmlns:mc="http://schemas.openxmlformats.org/markup-compatibility/2006">
      <mc:Choice xmlns:a14="http://schemas.microsoft.com/office/drawing/2010/main" Requires="a14">
        <xdr:graphicFrame macro="">
          <xdr:nvGraphicFramePr>
            <xdr:cNvPr id="10" name="Sales">
              <a:extLst>
                <a:ext uri="{FF2B5EF4-FFF2-40B4-BE49-F238E27FC236}">
                  <a16:creationId xmlns:a16="http://schemas.microsoft.com/office/drawing/2014/main" id="{AB26106D-2D5B-98F4-2BE2-D62765B781EC}"/>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26774042" y="364954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35</xdr:col>
      <xdr:colOff>0</xdr:colOff>
      <xdr:row>18</xdr:row>
      <xdr:rowOff>0</xdr:rowOff>
    </xdr:from>
    <xdr:to>
      <xdr:col>41</xdr:col>
      <xdr:colOff>200905</xdr:colOff>
      <xdr:row>29</xdr:row>
      <xdr:rowOff>116073</xdr:rowOff>
    </xdr:to>
    <xdr:graphicFrame macro="">
      <xdr:nvGraphicFramePr>
        <xdr:cNvPr id="4" name="Chart 3">
          <a:extLst>
            <a:ext uri="{FF2B5EF4-FFF2-40B4-BE49-F238E27FC236}">
              <a16:creationId xmlns:a16="http://schemas.microsoft.com/office/drawing/2014/main" id="{4063E976-9F23-404E-A394-A6DFFA085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29</xdr:col>
      <xdr:colOff>578597</xdr:colOff>
      <xdr:row>35</xdr:row>
      <xdr:rowOff>79375</xdr:rowOff>
    </xdr:from>
    <xdr:to>
      <xdr:col>32</xdr:col>
      <xdr:colOff>558426</xdr:colOff>
      <xdr:row>48</xdr:row>
      <xdr:rowOff>175559</xdr:rowOff>
    </xdr:to>
    <mc:AlternateContent xmlns:mc="http://schemas.openxmlformats.org/markup-compatibility/2006">
      <mc:Choice xmlns:a14="http://schemas.microsoft.com/office/drawing/2010/main" Requires="a14">
        <xdr:graphicFrame macro="">
          <xdr:nvGraphicFramePr>
            <xdr:cNvPr id="8" name="Reorder_Level 2">
              <a:extLst>
                <a:ext uri="{FF2B5EF4-FFF2-40B4-BE49-F238E27FC236}">
                  <a16:creationId xmlns:a16="http://schemas.microsoft.com/office/drawing/2014/main" id="{DF7A44BC-E07E-42BC-A203-B00F0E4E044E}"/>
                </a:ext>
              </a:extLst>
            </xdr:cNvPr>
            <xdr:cNvGraphicFramePr/>
          </xdr:nvGraphicFramePr>
          <xdr:xfrm>
            <a:off x="0" y="0"/>
            <a:ext cx="0" cy="0"/>
          </xdr:xfrm>
          <a:graphic>
            <a:graphicData uri="http://schemas.microsoft.com/office/drawing/2010/slicer">
              <sle:slicer xmlns:sle="http://schemas.microsoft.com/office/drawing/2010/slicer" name="Reorder_Level 2"/>
            </a:graphicData>
          </a:graphic>
        </xdr:graphicFrame>
      </mc:Choice>
      <mc:Fallback>
        <xdr:sp macro="" textlink="">
          <xdr:nvSpPr>
            <xdr:cNvPr id="0" name=""/>
            <xdr:cNvSpPr>
              <a:spLocks noTextEdit="1"/>
            </xdr:cNvSpPr>
          </xdr:nvSpPr>
          <xdr:spPr>
            <a:xfrm>
              <a:off x="24279038" y="661614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1559112</xdr:colOff>
      <xdr:row>35</xdr:row>
      <xdr:rowOff>182095</xdr:rowOff>
    </xdr:from>
    <xdr:to>
      <xdr:col>29</xdr:col>
      <xdr:colOff>194236</xdr:colOff>
      <xdr:row>49</xdr:row>
      <xdr:rowOff>91514</xdr:rowOff>
    </xdr:to>
    <mc:AlternateContent xmlns:mc="http://schemas.openxmlformats.org/markup-compatibility/2006">
      <mc:Choice xmlns:a14="http://schemas.microsoft.com/office/drawing/2010/main" Requires="a14">
        <xdr:graphicFrame macro="">
          <xdr:nvGraphicFramePr>
            <xdr:cNvPr id="9" name="Current_stock">
              <a:extLst>
                <a:ext uri="{FF2B5EF4-FFF2-40B4-BE49-F238E27FC236}">
                  <a16:creationId xmlns:a16="http://schemas.microsoft.com/office/drawing/2014/main" id="{D9E48394-D8CA-2839-D536-6D2B062189D0}"/>
                </a:ext>
              </a:extLst>
            </xdr:cNvPr>
            <xdr:cNvGraphicFramePr/>
          </xdr:nvGraphicFramePr>
          <xdr:xfrm>
            <a:off x="0" y="0"/>
            <a:ext cx="0" cy="0"/>
          </xdr:xfrm>
          <a:graphic>
            <a:graphicData uri="http://schemas.microsoft.com/office/drawing/2010/slicer">
              <sle:slicer xmlns:sle="http://schemas.microsoft.com/office/drawing/2010/slicer" name="Current_stock"/>
            </a:graphicData>
          </a:graphic>
        </xdr:graphicFrame>
      </mc:Choice>
      <mc:Fallback>
        <xdr:sp macro="" textlink="">
          <xdr:nvSpPr>
            <xdr:cNvPr id="0" name=""/>
            <xdr:cNvSpPr>
              <a:spLocks noTextEdit="1"/>
            </xdr:cNvSpPr>
          </xdr:nvSpPr>
          <xdr:spPr>
            <a:xfrm>
              <a:off x="22065877" y="671886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440765</xdr:colOff>
      <xdr:row>1</xdr:row>
      <xdr:rowOff>159871</xdr:rowOff>
    </xdr:from>
    <xdr:to>
      <xdr:col>35</xdr:col>
      <xdr:colOff>82177</xdr:colOff>
      <xdr:row>16</xdr:row>
      <xdr:rowOff>101601</xdr:rowOff>
    </xdr:to>
    <xdr:graphicFrame macro="">
      <xdr:nvGraphicFramePr>
        <xdr:cNvPr id="10" name="Chart 9">
          <a:extLst>
            <a:ext uri="{FF2B5EF4-FFF2-40B4-BE49-F238E27FC236}">
              <a16:creationId xmlns:a16="http://schemas.microsoft.com/office/drawing/2014/main" id="{7E3E2589-E975-12B8-98B6-21B87DE69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515470</xdr:colOff>
      <xdr:row>17</xdr:row>
      <xdr:rowOff>178547</xdr:rowOff>
    </xdr:from>
    <xdr:to>
      <xdr:col>35</xdr:col>
      <xdr:colOff>156882</xdr:colOff>
      <xdr:row>32</xdr:row>
      <xdr:rowOff>120276</xdr:rowOff>
    </xdr:to>
    <xdr:graphicFrame macro="">
      <xdr:nvGraphicFramePr>
        <xdr:cNvPr id="11" name="Chart 10">
          <a:extLst>
            <a:ext uri="{FF2B5EF4-FFF2-40B4-BE49-F238E27FC236}">
              <a16:creationId xmlns:a16="http://schemas.microsoft.com/office/drawing/2014/main" id="{9B7E855B-2996-D346-FDF8-4E05E6646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478118</xdr:colOff>
      <xdr:row>1</xdr:row>
      <xdr:rowOff>159870</xdr:rowOff>
    </xdr:from>
    <xdr:to>
      <xdr:col>43</xdr:col>
      <xdr:colOff>119529</xdr:colOff>
      <xdr:row>16</xdr:row>
      <xdr:rowOff>101600</xdr:rowOff>
    </xdr:to>
    <xdr:graphicFrame macro="">
      <xdr:nvGraphicFramePr>
        <xdr:cNvPr id="12" name="Chart 11">
          <a:extLst>
            <a:ext uri="{FF2B5EF4-FFF2-40B4-BE49-F238E27FC236}">
              <a16:creationId xmlns:a16="http://schemas.microsoft.com/office/drawing/2014/main" id="{33DD4BD4-AAD1-6CD2-1D13-A2B3B189D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27</xdr:col>
      <xdr:colOff>0</xdr:colOff>
      <xdr:row>19</xdr:row>
      <xdr:rowOff>0</xdr:rowOff>
    </xdr:from>
    <xdr:to>
      <xdr:col>29</xdr:col>
      <xdr:colOff>1546444</xdr:colOff>
      <xdr:row>33</xdr:row>
      <xdr:rowOff>118511</xdr:rowOff>
    </xdr:to>
    <xdr:graphicFrame macro="">
      <xdr:nvGraphicFramePr>
        <xdr:cNvPr id="3" name="Chart 2">
          <a:extLst>
            <a:ext uri="{FF2B5EF4-FFF2-40B4-BE49-F238E27FC236}">
              <a16:creationId xmlns:a16="http://schemas.microsoft.com/office/drawing/2014/main" id="{35F0744B-0AA1-4AD4-9B08-FD0BC25AA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30</xdr:col>
      <xdr:colOff>95249</xdr:colOff>
      <xdr:row>21</xdr:row>
      <xdr:rowOff>38894</xdr:rowOff>
    </xdr:from>
    <xdr:to>
      <xdr:col>33</xdr:col>
      <xdr:colOff>78581</xdr:colOff>
      <xdr:row>33</xdr:row>
      <xdr:rowOff>181769</xdr:rowOff>
    </xdr:to>
    <mc:AlternateContent xmlns:mc="http://schemas.openxmlformats.org/markup-compatibility/2006">
      <mc:Choice xmlns:a14="http://schemas.microsoft.com/office/drawing/2010/main" Requires="a14">
        <xdr:graphicFrame macro="">
          <xdr:nvGraphicFramePr>
            <xdr:cNvPr id="9" name="Quarters (Month)">
              <a:extLst>
                <a:ext uri="{FF2B5EF4-FFF2-40B4-BE49-F238E27FC236}">
                  <a16:creationId xmlns:a16="http://schemas.microsoft.com/office/drawing/2014/main" id="{372D41CC-BF2F-6C9D-1DA3-0F9C3C6B98A7}"/>
                </a:ext>
              </a:extLst>
            </xdr:cNvPr>
            <xdr:cNvGraphicFramePr/>
          </xdr:nvGraphicFramePr>
          <xdr:xfrm>
            <a:off x="0" y="0"/>
            <a:ext cx="0" cy="0"/>
          </xdr:xfrm>
          <a:graphic>
            <a:graphicData uri="http://schemas.microsoft.com/office/drawing/2010/slicer">
              <sle:slicer xmlns:sle="http://schemas.microsoft.com/office/drawing/2010/slicer" name="Quarters (Month)"/>
            </a:graphicData>
          </a:graphic>
        </xdr:graphicFrame>
      </mc:Choice>
      <mc:Fallback>
        <xdr:sp macro="" textlink="">
          <xdr:nvSpPr>
            <xdr:cNvPr id="0" name=""/>
            <xdr:cNvSpPr>
              <a:spLocks noTextEdit="1"/>
            </xdr:cNvSpPr>
          </xdr:nvSpPr>
          <xdr:spPr>
            <a:xfrm>
              <a:off x="22756812" y="44243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95249</xdr:colOff>
      <xdr:row>21</xdr:row>
      <xdr:rowOff>128587</xdr:rowOff>
    </xdr:from>
    <xdr:to>
      <xdr:col>37</xdr:col>
      <xdr:colOff>78581</xdr:colOff>
      <xdr:row>34</xdr:row>
      <xdr:rowOff>82550</xdr:rowOff>
    </xdr:to>
    <mc:AlternateContent xmlns:mc="http://schemas.openxmlformats.org/markup-compatibility/2006">
      <mc:Choice xmlns:a14="http://schemas.microsoft.com/office/drawing/2010/main" Requires="a14">
        <xdr:graphicFrame macro="">
          <xdr:nvGraphicFramePr>
            <xdr:cNvPr id="10" name="Years (Month)">
              <a:extLst>
                <a:ext uri="{FF2B5EF4-FFF2-40B4-BE49-F238E27FC236}">
                  <a16:creationId xmlns:a16="http://schemas.microsoft.com/office/drawing/2014/main" id="{667008E3-D40A-D1DC-8413-AA77A75E654E}"/>
                </a:ext>
              </a:extLst>
            </xdr:cNvPr>
            <xdr:cNvGraphicFramePr/>
          </xdr:nvGraphicFramePr>
          <xdr:xfrm>
            <a:off x="0" y="0"/>
            <a:ext cx="0" cy="0"/>
          </xdr:xfrm>
          <a:graphic>
            <a:graphicData uri="http://schemas.microsoft.com/office/drawing/2010/slicer">
              <sle:slicer xmlns:sle="http://schemas.microsoft.com/office/drawing/2010/slicer" name="Years (Month)"/>
            </a:graphicData>
          </a:graphic>
        </xdr:graphicFrame>
      </mc:Choice>
      <mc:Fallback>
        <xdr:sp macro="" textlink="">
          <xdr:nvSpPr>
            <xdr:cNvPr id="0" name=""/>
            <xdr:cNvSpPr>
              <a:spLocks noTextEdit="1"/>
            </xdr:cNvSpPr>
          </xdr:nvSpPr>
          <xdr:spPr>
            <a:xfrm>
              <a:off x="25217437" y="4514056"/>
              <a:ext cx="1828800" cy="2533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313532</xdr:colOff>
      <xdr:row>20</xdr:row>
      <xdr:rowOff>186532</xdr:rowOff>
    </xdr:from>
    <xdr:to>
      <xdr:col>44</xdr:col>
      <xdr:colOff>579438</xdr:colOff>
      <xdr:row>34</xdr:row>
      <xdr:rowOff>161132</xdr:rowOff>
    </xdr:to>
    <xdr:graphicFrame macro="">
      <xdr:nvGraphicFramePr>
        <xdr:cNvPr id="11" name="Chart 10">
          <a:extLst>
            <a:ext uri="{FF2B5EF4-FFF2-40B4-BE49-F238E27FC236}">
              <a16:creationId xmlns:a16="http://schemas.microsoft.com/office/drawing/2014/main" id="{11112702-89FA-1EB3-374D-4776F8A70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432594</xdr:colOff>
      <xdr:row>3</xdr:row>
      <xdr:rowOff>146844</xdr:rowOff>
    </xdr:from>
    <xdr:to>
      <xdr:col>38</xdr:col>
      <xdr:colOff>83344</xdr:colOff>
      <xdr:row>16</xdr:row>
      <xdr:rowOff>141288</xdr:rowOff>
    </xdr:to>
    <xdr:graphicFrame macro="">
      <xdr:nvGraphicFramePr>
        <xdr:cNvPr id="12" name="Chart 11">
          <a:extLst>
            <a:ext uri="{FF2B5EF4-FFF2-40B4-BE49-F238E27FC236}">
              <a16:creationId xmlns:a16="http://schemas.microsoft.com/office/drawing/2014/main" id="{D7873E73-1E1A-35B5-EEA3-9113F2E1E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ivot_sheet"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8860a4f5f7051da0/Desktop/Training/Training%20POWERBI/ORDERS_TABLE.csv.xlsx" TargetMode="External"/><Relationship Id="rId1" Type="http://schemas.openxmlformats.org/officeDocument/2006/relationships/externalLinkPath" Target="ORDERS_TABLE.cs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_shee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_TABLES"/>
      <sheetName val="DASHBOARD"/>
      <sheetName val="ORDERS_TABLE"/>
    </sheetNames>
    <sheetDataSet>
      <sheetData sheetId="0">
        <row r="40">
          <cell r="F40" t="str">
            <v>Sum of Profit</v>
          </cell>
        </row>
        <row r="41">
          <cell r="F41">
            <v>64.046000000000006</v>
          </cell>
        </row>
        <row r="42">
          <cell r="F42">
            <v>109.75699999999999</v>
          </cell>
        </row>
        <row r="43">
          <cell r="F43">
            <v>28.2668</v>
          </cell>
        </row>
        <row r="44">
          <cell r="F44">
            <v>105.541</v>
          </cell>
        </row>
        <row r="45">
          <cell r="F45">
            <v>386.48600000000005</v>
          </cell>
        </row>
        <row r="46">
          <cell r="F46">
            <v>40.402000000000001</v>
          </cell>
        </row>
        <row r="47">
          <cell r="F47">
            <v>46.456800000000008</v>
          </cell>
        </row>
        <row r="48">
          <cell r="F48">
            <v>8.1390999999999991</v>
          </cell>
        </row>
        <row r="49">
          <cell r="F49">
            <v>449.14030000000002</v>
          </cell>
        </row>
        <row r="50">
          <cell r="F50">
            <v>264.49799999999999</v>
          </cell>
        </row>
        <row r="51">
          <cell r="F51">
            <v>55.365299999999998</v>
          </cell>
        </row>
        <row r="52">
          <cell r="F52">
            <v>25.083399999999997</v>
          </cell>
        </row>
        <row r="53">
          <cell r="F53">
            <v>1583.1817000000001</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CUSTOMERS_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RODUCTS_3.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ORDERS_TABLE.csv.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INVENTORY_4.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SALES_TARGET_5.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1.814195601852" createdVersion="8" refreshedVersion="8" minRefreshableVersion="3" recordCount="83" xr:uid="{4CF33C3B-F4D5-4C9F-B37E-4E62D8170F28}">
  <cacheSource type="worksheet">
    <worksheetSource ref="A1:E84" sheet="Sheet1" r:id="rId2"/>
  </cacheSource>
  <cacheFields count="5">
    <cacheField name="Customer ID" numFmtId="0">
      <sharedItems count="42">
        <s v="BM-11575"/>
        <s v="LR-16915"/>
        <s v="CA-12310"/>
        <s v="BO-11350"/>
        <s v="EB-13975"/>
        <s v="BP-11185"/>
        <s v="AJ-10795"/>
        <s v="DW-13480"/>
        <s v="NM-18520"/>
        <s v="JO-15145"/>
        <s v="VS-21820"/>
        <s v="LA-16780"/>
        <s v="MF-17665"/>
        <s v="KB-16585"/>
        <s v="JB-16000"/>
        <s v="DE-13255"/>
        <s v="MP-17470"/>
        <s v="AG-10675"/>
        <s v="Dp-13240"/>
        <s v="RC-19825"/>
        <s v="WB-21850"/>
        <s v="BE-11335"/>
        <s v="EH-13945"/>
        <s v="CC-12430"/>
        <s v="DL-13495"/>
        <s v="TD-20995"/>
        <s v="PG-18895"/>
        <s v="CM-11935"/>
        <s v="MC-17275"/>
        <s v="FP-14320"/>
        <s v="BT-11530"/>
        <s v="TB-21280"/>
        <s v="CB-12415"/>
        <s v="CB-12535"/>
        <s v="HG-14965"/>
        <s v="TB-21355"/>
        <s v="JD-15895"/>
        <s v="JF-15490"/>
        <s v="SC-20725"/>
        <s v="TB-21250"/>
        <s v="HE-14800"/>
        <s v="DF-13135"/>
      </sharedItems>
    </cacheField>
    <cacheField name="Customer Name" numFmtId="0">
      <sharedItems count="42">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haredItems>
    </cacheField>
    <cacheField name="City" numFmtId="0">
      <sharedItems count="31">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haredItems>
    </cacheField>
    <cacheField name="State" numFmtId="0">
      <sharedItems count="18">
        <s v="Maryland"/>
        <s v="California"/>
        <s v="Texas"/>
        <s v="Oklahoma"/>
        <s v="North Carolina"/>
        <s v="Pennsylvania"/>
        <s v="Florida"/>
        <s v="Wisconsin"/>
        <s v="Ohio"/>
        <s v="Washington"/>
        <s v="New Jersey"/>
        <s v="Connecticut"/>
        <s v="New York"/>
        <s v="New Hampshire"/>
        <s v="Georgia"/>
        <s v="Vermont"/>
        <s v="Mississippi"/>
        <s v="Illinois"/>
      </sharedItems>
    </cacheField>
    <cacheField name="Segment" numFmtId="0">
      <sharedItems count="3">
        <s v="Consumer"/>
        <s v="Home Office"/>
        <s v="Corporate"/>
      </sharedItems>
    </cacheField>
  </cacheFields>
  <extLst>
    <ext xmlns:x14="http://schemas.microsoft.com/office/spreadsheetml/2009/9/main" uri="{725AE2AE-9491-48be-B2B4-4EB974FC3084}">
      <x14:pivotCacheDefinition pivotCacheId="8790513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1.792740277779" createdVersion="8" refreshedVersion="8" minRefreshableVersion="3" recordCount="40" xr:uid="{CF7FF723-489F-4A94-B09C-F151E39079F3}">
  <cacheSource type="worksheet">
    <worksheetSource ref="A1:D41" sheet="Sheet1" r:id="rId2"/>
  </cacheSource>
  <cacheFields count="4">
    <cacheField name="Product ID" numFmtId="0">
      <sharedItems count="39">
        <s v="FUR-BO-10004709"/>
        <s v="TEC-PH-10000455"/>
        <s v="OFF-ST-10003692"/>
        <s v="TEC-AC-10002217"/>
        <s v="TEC-AC-10002942"/>
        <s v="TEC-PH-10002890"/>
        <s v="FUR-TA-10000617"/>
        <s v="OFF-BI-10004364"/>
        <s v="TEC-CO-10000971"/>
        <s v="OFF-AR-10004078"/>
        <s v="OFF-BI-10002026"/>
        <s v="TEC-AC-10001714"/>
        <s v="OFF-AR-10003958"/>
        <s v="TEC-PH-10002923"/>
        <s v="OFF-AR-10003696"/>
        <s v="FUR-FU-10004270"/>
        <s v="OFF-PA-10004621"/>
        <s v="FUR-BO-10002545"/>
        <s v="OFF-BI-10001460"/>
        <s v="OFF-BI-10004236"/>
        <s v="OFF-AR-10001955"/>
        <s v="TEC-PH-10004080"/>
        <s v="TEC-AC-10000420"/>
        <s v="TEC-PH-10002726"/>
        <s v="FUR-FU-10002445"/>
        <s v="FUR-FU-10000076"/>
        <s v="TEC-AC-10002335"/>
        <s v="FUR-FU-10000010"/>
        <s v="OFF-PA-10001166"/>
        <s v="OFF-PA-10003656"/>
        <s v="TEC-PH-10000148"/>
        <s v="FUR-FU-10002268"/>
        <s v="OFF-PA-10004039"/>
        <s v="FUR-FU-10003374"/>
        <s v="OFF-EN-10003040"/>
        <s v="OFF-AR-10001573"/>
        <s v="TEC-AC-10000844"/>
        <s v="FUR-TA-10002903"/>
        <s v="OFF-EN-10001137"/>
      </sharedItems>
    </cacheField>
    <cacheField name="Product Name" numFmtId="0">
      <sharedItems count="39">
        <s v="Bush Westfield Collection Bookcases, Medium Cherry Finish"/>
        <s v="GE 30522EE2"/>
        <s v="Recycled Steel Personal File for Hanging File Folders"/>
        <s v="Imation Clip USB flash drive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 MX Performance Wireless Mouse"/>
        <s v="Newell 337"/>
        <s v="Logitech B530 USB Headset - headset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 Gaming G510s - Keyboard"/>
        <s v="Bevis Round Bullnose 29&quot; High Table Top"/>
        <s v="#10 Gummed Flap White Envelopes, 100/Box"/>
      </sharedItems>
    </cacheField>
    <cacheField name="Category" numFmtId="0">
      <sharedItems count="3">
        <s v="Furniture"/>
        <s v="Technology"/>
        <s v="Office Supplies"/>
      </sharedItems>
    </cacheField>
    <cacheField name="Unit_Price" numFmtId="0">
      <sharedItems count="20">
        <s v="$4.50 "/>
        <s v="$20.00 "/>
        <s v="$6.00 "/>
        <s v="$1.50 "/>
        <s v="$4.00 "/>
        <s v="$1.75 "/>
        <s v="$2.50 "/>
        <s v="$3.00 "/>
        <s v="$1.00 "/>
        <s v="$1.60 "/>
        <s v="$2.00 "/>
        <s v="$7.00 "/>
        <s v="$8.00 "/>
        <s v="$12.00 "/>
        <s v="$0.80 "/>
        <s v="$5.00 "/>
        <s v="$3.50 "/>
        <s v="$30.00 "/>
        <s v="$9.00 "/>
        <s v="$3.45 "/>
      </sharedItems>
    </cacheField>
  </cacheFields>
  <extLst>
    <ext xmlns:x14="http://schemas.microsoft.com/office/spreadsheetml/2009/9/main" uri="{725AE2AE-9491-48be-B2B4-4EB974FC3084}">
      <x14:pivotCacheDefinition pivotCacheId="120870126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0.816886458335" createdVersion="8" refreshedVersion="8" minRefreshableVersion="3" recordCount="40" xr:uid="{49BA3DF5-8815-4CC4-8A37-E5FF9438CBA1}">
  <cacheSource type="worksheet">
    <worksheetSource ref="A1:G41" sheet="ORDERS_TABLE" r:id="rId2"/>
  </cacheSource>
  <cacheFields count="7">
    <cacheField name="Order ID" numFmtId="0">
      <sharedItems count="21">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haredItems>
    </cacheField>
    <cacheField name="Order Date" numFmtId="0">
      <sharedItems containsDate="1" containsMixedTypes="1" minDate="2019-01-01T00:00:00" maxDate="2019-11-02T00:00:00" count="12">
        <d v="2019-01-01T00:00:00"/>
        <d v="2019-02-01T00:00:00"/>
        <d v="2019-03-01T00:00:00"/>
        <d v="2019-04-01T00:00:00"/>
        <d v="2019-05-01T00:00:00"/>
        <d v="2019-07-01T00:00:00"/>
        <d v="2019-08-01T00:00:00"/>
        <d v="2019-09-01T00:00:00"/>
        <d v="2019-10-01T00:00:00"/>
        <d v="2019-11-01T00:00:00"/>
        <s v="1/14/2019"/>
        <s v="1/15/2019"/>
      </sharedItems>
    </cacheField>
    <cacheField name="Customer ID" numFmtId="0">
      <sharedItems count="21">
        <s v="BM-11575"/>
        <s v="LR-16915"/>
        <s v="CA-12310"/>
        <s v="BO-11350"/>
        <s v="EB-13975"/>
        <s v="BP-11185"/>
        <s v="AJ-10795"/>
        <s v="DW-13480"/>
        <s v="NM-18520"/>
        <s v="JO-15145"/>
        <s v="VS-21820"/>
        <s v="LA-16780"/>
        <s v="MF-17665"/>
        <s v="KB-16585"/>
        <s v="JB-16000"/>
        <s v="DE-13255"/>
        <s v="MP-17470"/>
        <s v="AG-10675"/>
        <s v="Dp-13240"/>
        <s v="RC-19825"/>
        <s v="WB-21850"/>
      </sharedItems>
    </cacheField>
    <cacheField name="Product ID" numFmtId="0">
      <sharedItems count="39">
        <s v="FUR-BO-10004709"/>
        <s v="TEC-PH-10000455"/>
        <s v="OFF-ST-10003692"/>
        <s v="TEC-AC-10002217"/>
        <s v="TEC-AC-10002942"/>
        <s v="TEC-PH-10002890"/>
        <s v="FUR-TA-10000617"/>
        <s v="OFF-BI-10004364"/>
        <s v="TEC-CO-10000971"/>
        <s v="OFF-AR-10004078"/>
        <s v="OFF-BI-10002026"/>
        <s v="TEC-AC-10001714"/>
        <s v="OFF-AR-10003958"/>
        <s v="TEC-PH-10002923"/>
        <s v="OFF-AR-10003696"/>
        <s v="FUR-FU-10004270"/>
        <s v="OFF-PA-10004621"/>
        <s v="FUR-BO-10002545"/>
        <s v="OFF-BI-10001460"/>
        <s v="OFF-BI-10004236"/>
        <s v="OFF-AR-10001955"/>
        <s v="TEC-PH-10004080"/>
        <s v="TEC-AC-10000420"/>
        <s v="TEC-PH-10002726"/>
        <s v="FUR-FU-10002445"/>
        <s v="FUR-FU-10000076"/>
        <s v="TEC-AC-10002335"/>
        <s v="FUR-FU-10000010"/>
        <s v="OFF-PA-10001166"/>
        <s v="OFF-PA-10003656"/>
        <s v="TEC-PH-10000148"/>
        <s v="FUR-FU-10002268"/>
        <s v="OFF-PA-10004039"/>
        <s v="FUR-FU-10003374"/>
        <s v="OFF-EN-10003040"/>
        <s v="OFF-AR-10001573"/>
        <s v="TEC-AC-10000844"/>
        <s v="FUR-TA-10002903"/>
        <s v="OFF-EN-10001137"/>
      </sharedItems>
    </cacheField>
    <cacheField name="Sales" numFmtId="0">
      <sharedItems containsSemiMixedTypes="0" containsString="0" containsNumber="1" minValue="4.66" maxValue="1592.85" count="40">
        <n v="73.94"/>
        <n v="173.94"/>
        <n v="231.98"/>
        <n v="114.46"/>
        <n v="30.08"/>
        <n v="165.6"/>
        <n v="180.96"/>
        <n v="1592.85"/>
        <n v="11.88"/>
        <n v="959.96799999999996"/>
        <n v="4.6719999999999997"/>
        <n v="104.58"/>
        <n v="191.47200000000001"/>
        <n v="5.2480000000000002"/>
        <n v="59.183999999999997"/>
        <n v="34.58"/>
        <n v="23.076000000000001"/>
        <n v="25.92"/>
        <n v="1565.88"/>
        <n v="106.05"/>
        <n v="30.827999999999999"/>
        <n v="47.616"/>
        <n v="108.78400000000001"/>
        <n v="349.95"/>
        <n v="377.928"/>
        <n v="15.167999999999999"/>
        <n v="79.92"/>
        <n v="69.98"/>
        <n v="24.85"/>
        <n v="15.552"/>
        <n v="63.311999999999998"/>
        <n v="15.587999999999999"/>
        <n v="54.991999999999997"/>
        <n v="89.567999999999998"/>
        <n v="315.77600000000001"/>
        <n v="52.34"/>
        <n v="4.66"/>
        <n v="254.97"/>
        <n v="181.797"/>
        <n v="16.5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80.177999999999997" maxValue="407.12880000000001" count="40">
        <n v="28.2668"/>
        <n v="38.266800000000003"/>
        <n v="67.274199999999993"/>
        <n v="28.614999999999998"/>
        <n v="-5.2640000000000002"/>
        <n v="-6.21"/>
        <n v="13.571999999999999"/>
        <n v="350.42700000000002"/>
        <n v="5.3460000000000001"/>
        <n v="119.996"/>
        <n v="0.58399999999999996"/>
        <n v="-80.177999999999997"/>
        <n v="40.687800000000003"/>
        <n v="0.59040000000000004"/>
        <n v="5.1786000000000003"/>
        <n v="10.0282"/>
        <n v="-10.9611"/>
        <n v="9.0719999999999992"/>
        <n v="407.12880000000001"/>
        <n v="49.843499999999999"/>
        <n v="-24.662400000000002"/>
        <n v="5.952"/>
        <n v="10.878399999999999"/>
        <n v="118.983"/>
        <n v="141.72300000000001"/>
        <n v="3.7919999999999998"/>
        <n v="34.365600000000001"/>
        <n v="13.296200000000001"/>
        <n v="7.7035"/>
        <n v="5.4432"/>
        <n v="20.5764"/>
        <n v="-9.8724000000000007"/>
        <n v="8.9361999999999995"/>
        <n v="32.468400000000003"/>
        <n v="31.5776"/>
        <n v="24.599799999999998"/>
        <n v="1.3513999999999999"/>
        <n v="91.789199999999994"/>
        <n v="-15.582599999999999"/>
        <n v="7.5991999999999997"/>
      </sharedItems>
    </cacheField>
  </cacheFields>
  <extLst>
    <ext xmlns:x14="http://schemas.microsoft.com/office/spreadsheetml/2009/9/main" uri="{725AE2AE-9491-48be-B2B4-4EB974FC3084}">
      <x14:pivotCacheDefinition pivotCacheId="81737620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1.744331828704" createdVersion="8" refreshedVersion="8" minRefreshableVersion="3" recordCount="31" xr:uid="{2CC87185-E73B-46E2-806D-79B37AEAB76E}">
  <cacheSource type="worksheet">
    <worksheetSource ref="A1:C32" sheet="Sheet1" r:id="rId2"/>
  </cacheSource>
  <cacheFields count="3">
    <cacheField name="ProductID" numFmtId="0">
      <sharedItems count="30">
        <s v="FUR-BO-10004709"/>
        <s v="TEC-PH-10000455"/>
        <s v="OFF-ST-10003692"/>
        <s v="TEC-AC-10002217"/>
        <s v="TEC-AC-10002942"/>
        <s v="TEC-PH-10002890"/>
        <s v="FUR-TA-10000617"/>
        <s v="OFF-BI-10004364"/>
        <s v="TEC-CO-10000971"/>
        <s v="OFF-AR-10004078"/>
        <s v="OFF-BI-10002026"/>
        <s v="TEC-AC-10001714"/>
        <s v="OFF-AR-10003958"/>
        <s v="TEC-PH-10002923"/>
        <s v="OFF-AR-10003696"/>
        <s v="FUR-FU-10004270"/>
        <s v="OFF-PA-10004621"/>
        <s v="FUR-BO-10002545"/>
        <s v="OFF-BI-10001460"/>
        <s v="OFF-BI-10004236"/>
        <s v="OFF-AR-10001955"/>
        <s v="TEC-PH-10004080"/>
        <s v="TEC-AC-10000420"/>
        <s v="TEC-PH-10002726"/>
        <s v="FUR-FU-10002445"/>
        <s v="FUR-FU-10000076"/>
        <s v="TEC-AC-10002335"/>
        <s v="FUR-FU-10000010"/>
        <s v="OFF-PA-10001166"/>
        <s v="OFF-PA-10003656"/>
      </sharedItems>
    </cacheField>
    <cacheField name="Reorder_Level" numFmtId="0">
      <sharedItems containsSemiMixedTypes="0" containsString="0" containsNumber="1" containsInteger="1" minValue="4" maxValue="99" count="30">
        <n v="72"/>
        <n v="77"/>
        <n v="38"/>
        <n v="59"/>
        <n v="30"/>
        <n v="33"/>
        <n v="52"/>
        <n v="90"/>
        <n v="84"/>
        <n v="10"/>
        <n v="81"/>
        <n v="98"/>
        <n v="79"/>
        <n v="50"/>
        <n v="26"/>
        <n v="13"/>
        <n v="93"/>
        <n v="49"/>
        <n v="61"/>
        <n v="70"/>
        <n v="73"/>
        <n v="99"/>
        <n v="46"/>
        <n v="4"/>
        <n v="43"/>
        <n v="88"/>
        <n v="87"/>
        <n v="9"/>
        <n v="20"/>
        <n v="36"/>
      </sharedItems>
    </cacheField>
    <cacheField name="Current_stock" numFmtId="0">
      <sharedItems containsSemiMixedTypes="0" containsString="0" containsNumber="1" containsInteger="1" minValue="12" maxValue="97" count="27">
        <n v="22"/>
        <n v="45"/>
        <n v="30"/>
        <n v="12"/>
        <n v="37"/>
        <n v="55"/>
        <n v="96"/>
        <n v="44"/>
        <n v="91"/>
        <n v="43"/>
        <n v="62"/>
        <n v="26"/>
        <n v="95"/>
        <n v="54"/>
        <n v="94"/>
        <n v="27"/>
        <n v="49"/>
        <n v="65"/>
        <n v="72"/>
        <n v="81"/>
        <n v="88"/>
        <n v="63"/>
        <n v="31"/>
        <n v="97"/>
        <n v="16"/>
        <n v="77"/>
        <n v="19"/>
      </sharedItems>
    </cacheField>
  </cacheFields>
  <extLst>
    <ext xmlns:x14="http://schemas.microsoft.com/office/spreadsheetml/2009/9/main" uri="{725AE2AE-9491-48be-B2B4-4EB974FC3084}">
      <x14:pivotCacheDefinition pivotCacheId="4077110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1.865463310183" createdVersion="8" refreshedVersion="8" minRefreshableVersion="3" recordCount="52" xr:uid="{EA44B2B2-CB88-45F6-83BA-6AF395C67FE8}">
  <cacheSource type="worksheet">
    <worksheetSource ref="A1:B53" sheet="Sheet1" r:id="rId2"/>
  </cacheSource>
  <cacheFields count="5">
    <cacheField name="Month" numFmtId="17">
      <sharedItems containsSemiMixedTypes="0" containsNonDate="0" containsDate="1" containsString="0" minDate="2018-01-01T00:00:00" maxDate="2022-04-02T00:00:00" count="52">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sharedItems>
      <fieldGroup par="4"/>
    </cacheField>
    <cacheField name="Target Sales" numFmtId="0">
      <sharedItems containsSemiMixedTypes="0" containsString="0" containsNumber="1" containsInteger="1" minValue="45000" maxValue="82000" count="32">
        <n v="45000"/>
        <n v="47000"/>
        <n v="49000"/>
        <n v="52000"/>
        <n v="54000"/>
        <n v="56000"/>
        <n v="58000"/>
        <n v="60000"/>
        <n v="62000"/>
        <n v="64000"/>
        <n v="66000"/>
        <n v="68000"/>
        <n v="50000"/>
        <n v="70000"/>
        <n v="72000"/>
        <n v="55000"/>
        <n v="57000"/>
        <n v="59000"/>
        <n v="61000"/>
        <n v="63000"/>
        <n v="65000"/>
        <n v="67000"/>
        <n v="69000"/>
        <n v="71000"/>
        <n v="73000"/>
        <n v="75000"/>
        <n v="77000"/>
        <n v="74000"/>
        <n v="76000"/>
        <n v="78000"/>
        <n v="80000"/>
        <n v="82000"/>
      </sharedItems>
    </cacheField>
    <cacheField name="Months (Month)" numFmtId="0" databaseField="0">
      <fieldGroup base="0">
        <rangePr groupBy="months" startDate="2018-01-01T00:00:00" endDate="2022-04-02T00:00:00"/>
        <groupItems count="14">
          <s v="&lt;01-01-2018"/>
          <s v="Jan"/>
          <s v="Feb"/>
          <s v="Mar"/>
          <s v="Apr"/>
          <s v="May"/>
          <s v="Jun"/>
          <s v="Jul"/>
          <s v="Aug"/>
          <s v="Sep"/>
          <s v="Oct"/>
          <s v="Nov"/>
          <s v="Dec"/>
          <s v="&gt;02-04-2022"/>
        </groupItems>
      </fieldGroup>
    </cacheField>
    <cacheField name="Quarters (Month)" numFmtId="0" databaseField="0">
      <fieldGroup base="0">
        <rangePr groupBy="quarters" startDate="2018-01-01T00:00:00" endDate="2022-04-02T00:00:00"/>
        <groupItems count="6">
          <s v="&lt;01-01-2018"/>
          <s v="Qtr1"/>
          <s v="Qtr2"/>
          <s v="Qtr3"/>
          <s v="Qtr4"/>
          <s v="&gt;02-04-2022"/>
        </groupItems>
      </fieldGroup>
    </cacheField>
    <cacheField name="Years (Month)" numFmtId="0" databaseField="0">
      <fieldGroup base="0">
        <rangePr groupBy="years" startDate="2018-01-01T00:00:00" endDate="2022-04-02T00:00:00"/>
        <groupItems count="7">
          <s v="&lt;01-01-2018"/>
          <s v="2018"/>
          <s v="2019"/>
          <s v="2020"/>
          <s v="2021"/>
          <s v="2022"/>
          <s v="&gt;02-04-2022"/>
        </groupItems>
      </fieldGroup>
    </cacheField>
  </cacheFields>
  <extLst>
    <ext xmlns:x14="http://schemas.microsoft.com/office/spreadsheetml/2009/9/main" uri="{725AE2AE-9491-48be-B2B4-4EB974FC3084}">
      <x14:pivotCacheDefinition pivotCacheId="404856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x v="0"/>
    <x v="0"/>
    <x v="0"/>
    <x v="0"/>
    <x v="0"/>
  </r>
  <r>
    <x v="0"/>
    <x v="0"/>
    <x v="0"/>
    <x v="0"/>
    <x v="1"/>
  </r>
  <r>
    <x v="0"/>
    <x v="0"/>
    <x v="0"/>
    <x v="0"/>
    <x v="0"/>
  </r>
  <r>
    <x v="1"/>
    <x v="1"/>
    <x v="1"/>
    <x v="1"/>
    <x v="1"/>
  </r>
  <r>
    <x v="2"/>
    <x v="2"/>
    <x v="2"/>
    <x v="2"/>
    <x v="0"/>
  </r>
  <r>
    <x v="2"/>
    <x v="2"/>
    <x v="2"/>
    <x v="2"/>
    <x v="2"/>
  </r>
  <r>
    <x v="2"/>
    <x v="2"/>
    <x v="2"/>
    <x v="2"/>
    <x v="1"/>
  </r>
  <r>
    <x v="3"/>
    <x v="3"/>
    <x v="3"/>
    <x v="3"/>
    <x v="1"/>
  </r>
  <r>
    <x v="3"/>
    <x v="3"/>
    <x v="3"/>
    <x v="3"/>
    <x v="0"/>
  </r>
  <r>
    <x v="4"/>
    <x v="4"/>
    <x v="4"/>
    <x v="4"/>
    <x v="0"/>
  </r>
  <r>
    <x v="5"/>
    <x v="5"/>
    <x v="5"/>
    <x v="5"/>
    <x v="0"/>
  </r>
  <r>
    <x v="5"/>
    <x v="5"/>
    <x v="5"/>
    <x v="5"/>
    <x v="0"/>
  </r>
  <r>
    <x v="6"/>
    <x v="6"/>
    <x v="6"/>
    <x v="6"/>
    <x v="2"/>
  </r>
  <r>
    <x v="6"/>
    <x v="6"/>
    <x v="6"/>
    <x v="6"/>
    <x v="2"/>
  </r>
  <r>
    <x v="6"/>
    <x v="6"/>
    <x v="6"/>
    <x v="6"/>
    <x v="0"/>
  </r>
  <r>
    <x v="7"/>
    <x v="7"/>
    <x v="7"/>
    <x v="1"/>
    <x v="0"/>
  </r>
  <r>
    <x v="8"/>
    <x v="8"/>
    <x v="8"/>
    <x v="2"/>
    <x v="0"/>
  </r>
  <r>
    <x v="8"/>
    <x v="8"/>
    <x v="8"/>
    <x v="2"/>
    <x v="2"/>
  </r>
  <r>
    <x v="9"/>
    <x v="9"/>
    <x v="9"/>
    <x v="7"/>
    <x v="2"/>
  </r>
  <r>
    <x v="9"/>
    <x v="9"/>
    <x v="9"/>
    <x v="7"/>
    <x v="2"/>
  </r>
  <r>
    <x v="10"/>
    <x v="10"/>
    <x v="10"/>
    <x v="4"/>
    <x v="0"/>
  </r>
  <r>
    <x v="10"/>
    <x v="10"/>
    <x v="10"/>
    <x v="4"/>
    <x v="0"/>
  </r>
  <r>
    <x v="10"/>
    <x v="10"/>
    <x v="10"/>
    <x v="4"/>
    <x v="0"/>
  </r>
  <r>
    <x v="11"/>
    <x v="11"/>
    <x v="11"/>
    <x v="1"/>
    <x v="0"/>
  </r>
  <r>
    <x v="11"/>
    <x v="11"/>
    <x v="11"/>
    <x v="1"/>
    <x v="2"/>
  </r>
  <r>
    <x v="12"/>
    <x v="12"/>
    <x v="12"/>
    <x v="8"/>
    <x v="0"/>
  </r>
  <r>
    <x v="13"/>
    <x v="13"/>
    <x v="13"/>
    <x v="9"/>
    <x v="0"/>
  </r>
  <r>
    <x v="13"/>
    <x v="13"/>
    <x v="13"/>
    <x v="9"/>
    <x v="0"/>
  </r>
  <r>
    <x v="14"/>
    <x v="14"/>
    <x v="14"/>
    <x v="9"/>
    <x v="0"/>
  </r>
  <r>
    <x v="15"/>
    <x v="15"/>
    <x v="15"/>
    <x v="8"/>
    <x v="2"/>
  </r>
  <r>
    <x v="15"/>
    <x v="15"/>
    <x v="15"/>
    <x v="8"/>
    <x v="0"/>
  </r>
  <r>
    <x v="15"/>
    <x v="15"/>
    <x v="15"/>
    <x v="8"/>
    <x v="0"/>
  </r>
  <r>
    <x v="16"/>
    <x v="16"/>
    <x v="16"/>
    <x v="8"/>
    <x v="0"/>
  </r>
  <r>
    <x v="17"/>
    <x v="17"/>
    <x v="17"/>
    <x v="4"/>
    <x v="2"/>
  </r>
  <r>
    <x v="17"/>
    <x v="17"/>
    <x v="17"/>
    <x v="4"/>
    <x v="1"/>
  </r>
  <r>
    <x v="18"/>
    <x v="18"/>
    <x v="18"/>
    <x v="10"/>
    <x v="2"/>
  </r>
  <r>
    <x v="18"/>
    <x v="18"/>
    <x v="18"/>
    <x v="10"/>
    <x v="1"/>
  </r>
  <r>
    <x v="18"/>
    <x v="18"/>
    <x v="18"/>
    <x v="10"/>
    <x v="1"/>
  </r>
  <r>
    <x v="19"/>
    <x v="19"/>
    <x v="19"/>
    <x v="11"/>
    <x v="0"/>
  </r>
  <r>
    <x v="20"/>
    <x v="20"/>
    <x v="20"/>
    <x v="12"/>
    <x v="0"/>
  </r>
  <r>
    <x v="20"/>
    <x v="20"/>
    <x v="20"/>
    <x v="12"/>
    <x v="0"/>
  </r>
  <r>
    <x v="20"/>
    <x v="20"/>
    <x v="20"/>
    <x v="12"/>
    <x v="0"/>
  </r>
  <r>
    <x v="21"/>
    <x v="21"/>
    <x v="20"/>
    <x v="12"/>
    <x v="0"/>
  </r>
  <r>
    <x v="22"/>
    <x v="22"/>
    <x v="1"/>
    <x v="1"/>
    <x v="0"/>
  </r>
  <r>
    <x v="22"/>
    <x v="22"/>
    <x v="1"/>
    <x v="1"/>
    <x v="0"/>
  </r>
  <r>
    <x v="23"/>
    <x v="23"/>
    <x v="17"/>
    <x v="13"/>
    <x v="1"/>
  </r>
  <r>
    <x v="23"/>
    <x v="23"/>
    <x v="17"/>
    <x v="13"/>
    <x v="0"/>
  </r>
  <r>
    <x v="23"/>
    <x v="23"/>
    <x v="17"/>
    <x v="13"/>
    <x v="0"/>
  </r>
  <r>
    <x v="24"/>
    <x v="24"/>
    <x v="16"/>
    <x v="14"/>
    <x v="2"/>
  </r>
  <r>
    <x v="25"/>
    <x v="25"/>
    <x v="21"/>
    <x v="1"/>
    <x v="1"/>
  </r>
  <r>
    <x v="25"/>
    <x v="25"/>
    <x v="21"/>
    <x v="1"/>
    <x v="0"/>
  </r>
  <r>
    <x v="26"/>
    <x v="26"/>
    <x v="22"/>
    <x v="10"/>
    <x v="2"/>
  </r>
  <r>
    <x v="27"/>
    <x v="27"/>
    <x v="23"/>
    <x v="4"/>
    <x v="2"/>
  </r>
  <r>
    <x v="27"/>
    <x v="27"/>
    <x v="23"/>
    <x v="4"/>
    <x v="2"/>
  </r>
  <r>
    <x v="27"/>
    <x v="27"/>
    <x v="23"/>
    <x v="4"/>
    <x v="2"/>
  </r>
  <r>
    <x v="6"/>
    <x v="6"/>
    <x v="13"/>
    <x v="9"/>
    <x v="1"/>
  </r>
  <r>
    <x v="28"/>
    <x v="28"/>
    <x v="13"/>
    <x v="9"/>
    <x v="0"/>
  </r>
  <r>
    <x v="29"/>
    <x v="29"/>
    <x v="21"/>
    <x v="1"/>
    <x v="0"/>
  </r>
  <r>
    <x v="29"/>
    <x v="29"/>
    <x v="21"/>
    <x v="1"/>
    <x v="0"/>
  </r>
  <r>
    <x v="30"/>
    <x v="30"/>
    <x v="24"/>
    <x v="8"/>
    <x v="0"/>
  </r>
  <r>
    <x v="30"/>
    <x v="30"/>
    <x v="24"/>
    <x v="8"/>
    <x v="0"/>
  </r>
  <r>
    <x v="31"/>
    <x v="31"/>
    <x v="20"/>
    <x v="12"/>
    <x v="2"/>
  </r>
  <r>
    <x v="32"/>
    <x v="32"/>
    <x v="1"/>
    <x v="1"/>
    <x v="2"/>
  </r>
  <r>
    <x v="33"/>
    <x v="33"/>
    <x v="25"/>
    <x v="15"/>
    <x v="2"/>
  </r>
  <r>
    <x v="33"/>
    <x v="33"/>
    <x v="25"/>
    <x v="15"/>
    <x v="0"/>
  </r>
  <r>
    <x v="33"/>
    <x v="33"/>
    <x v="25"/>
    <x v="15"/>
    <x v="0"/>
  </r>
  <r>
    <x v="34"/>
    <x v="34"/>
    <x v="26"/>
    <x v="16"/>
    <x v="0"/>
  </r>
  <r>
    <x v="35"/>
    <x v="35"/>
    <x v="27"/>
    <x v="10"/>
    <x v="0"/>
  </r>
  <r>
    <x v="35"/>
    <x v="35"/>
    <x v="27"/>
    <x v="10"/>
    <x v="2"/>
  </r>
  <r>
    <x v="36"/>
    <x v="36"/>
    <x v="20"/>
    <x v="12"/>
    <x v="1"/>
  </r>
  <r>
    <x v="36"/>
    <x v="36"/>
    <x v="20"/>
    <x v="12"/>
    <x v="2"/>
  </r>
  <r>
    <x v="36"/>
    <x v="36"/>
    <x v="20"/>
    <x v="12"/>
    <x v="0"/>
  </r>
  <r>
    <x v="36"/>
    <x v="36"/>
    <x v="20"/>
    <x v="12"/>
    <x v="0"/>
  </r>
  <r>
    <x v="34"/>
    <x v="34"/>
    <x v="1"/>
    <x v="1"/>
    <x v="1"/>
  </r>
  <r>
    <x v="37"/>
    <x v="37"/>
    <x v="28"/>
    <x v="1"/>
    <x v="0"/>
  </r>
  <r>
    <x v="38"/>
    <x v="38"/>
    <x v="28"/>
    <x v="1"/>
    <x v="0"/>
  </r>
  <r>
    <x v="38"/>
    <x v="38"/>
    <x v="28"/>
    <x v="1"/>
    <x v="0"/>
  </r>
  <r>
    <x v="38"/>
    <x v="38"/>
    <x v="28"/>
    <x v="1"/>
    <x v="1"/>
  </r>
  <r>
    <x v="39"/>
    <x v="39"/>
    <x v="13"/>
    <x v="9"/>
    <x v="0"/>
  </r>
  <r>
    <x v="39"/>
    <x v="39"/>
    <x v="13"/>
    <x v="9"/>
    <x v="1"/>
  </r>
  <r>
    <x v="40"/>
    <x v="40"/>
    <x v="29"/>
    <x v="17"/>
    <x v="1"/>
  </r>
  <r>
    <x v="41"/>
    <x v="41"/>
    <x v="30"/>
    <x v="17"/>
    <x v="2"/>
  </r>
  <r>
    <x v="41"/>
    <x v="41"/>
    <x v="30"/>
    <x v="1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r>
  <r>
    <x v="0"/>
    <x v="0"/>
    <x v="0"/>
    <x v="1"/>
  </r>
  <r>
    <x v="1"/>
    <x v="1"/>
    <x v="1"/>
    <x v="2"/>
  </r>
  <r>
    <x v="2"/>
    <x v="2"/>
    <x v="2"/>
    <x v="3"/>
  </r>
  <r>
    <x v="3"/>
    <x v="3"/>
    <x v="1"/>
    <x v="4"/>
  </r>
  <r>
    <x v="4"/>
    <x v="4"/>
    <x v="1"/>
    <x v="5"/>
  </r>
  <r>
    <x v="5"/>
    <x v="5"/>
    <x v="1"/>
    <x v="6"/>
  </r>
  <r>
    <x v="6"/>
    <x v="6"/>
    <x v="0"/>
    <x v="6"/>
  </r>
  <r>
    <x v="7"/>
    <x v="7"/>
    <x v="2"/>
    <x v="7"/>
  </r>
  <r>
    <x v="8"/>
    <x v="8"/>
    <x v="1"/>
    <x v="8"/>
  </r>
  <r>
    <x v="9"/>
    <x v="9"/>
    <x v="2"/>
    <x v="9"/>
  </r>
  <r>
    <x v="10"/>
    <x v="10"/>
    <x v="2"/>
    <x v="10"/>
  </r>
  <r>
    <x v="11"/>
    <x v="11"/>
    <x v="1"/>
    <x v="7"/>
  </r>
  <r>
    <x v="12"/>
    <x v="12"/>
    <x v="2"/>
    <x v="4"/>
  </r>
  <r>
    <x v="13"/>
    <x v="13"/>
    <x v="1"/>
    <x v="2"/>
  </r>
  <r>
    <x v="14"/>
    <x v="14"/>
    <x v="2"/>
    <x v="11"/>
  </r>
  <r>
    <x v="15"/>
    <x v="15"/>
    <x v="0"/>
    <x v="3"/>
  </r>
  <r>
    <x v="16"/>
    <x v="16"/>
    <x v="2"/>
    <x v="12"/>
  </r>
  <r>
    <x v="17"/>
    <x v="17"/>
    <x v="0"/>
    <x v="1"/>
  </r>
  <r>
    <x v="18"/>
    <x v="18"/>
    <x v="2"/>
    <x v="10"/>
  </r>
  <r>
    <x v="19"/>
    <x v="19"/>
    <x v="2"/>
    <x v="6"/>
  </r>
  <r>
    <x v="20"/>
    <x v="20"/>
    <x v="2"/>
    <x v="13"/>
  </r>
  <r>
    <x v="21"/>
    <x v="21"/>
    <x v="1"/>
    <x v="10"/>
  </r>
  <r>
    <x v="22"/>
    <x v="22"/>
    <x v="1"/>
    <x v="8"/>
  </r>
  <r>
    <x v="23"/>
    <x v="23"/>
    <x v="1"/>
    <x v="13"/>
  </r>
  <r>
    <x v="24"/>
    <x v="24"/>
    <x v="0"/>
    <x v="3"/>
  </r>
  <r>
    <x v="25"/>
    <x v="25"/>
    <x v="0"/>
    <x v="14"/>
  </r>
  <r>
    <x v="26"/>
    <x v="26"/>
    <x v="1"/>
    <x v="2"/>
  </r>
  <r>
    <x v="27"/>
    <x v="27"/>
    <x v="0"/>
    <x v="15"/>
  </r>
  <r>
    <x v="28"/>
    <x v="28"/>
    <x v="2"/>
    <x v="0"/>
  </r>
  <r>
    <x v="29"/>
    <x v="29"/>
    <x v="2"/>
    <x v="5"/>
  </r>
  <r>
    <x v="30"/>
    <x v="30"/>
    <x v="1"/>
    <x v="16"/>
  </r>
  <r>
    <x v="31"/>
    <x v="31"/>
    <x v="0"/>
    <x v="2"/>
  </r>
  <r>
    <x v="32"/>
    <x v="32"/>
    <x v="2"/>
    <x v="17"/>
  </r>
  <r>
    <x v="33"/>
    <x v="33"/>
    <x v="0"/>
    <x v="18"/>
  </r>
  <r>
    <x v="34"/>
    <x v="34"/>
    <x v="2"/>
    <x v="10"/>
  </r>
  <r>
    <x v="35"/>
    <x v="35"/>
    <x v="2"/>
    <x v="0"/>
  </r>
  <r>
    <x v="36"/>
    <x v="36"/>
    <x v="1"/>
    <x v="19"/>
  </r>
  <r>
    <x v="37"/>
    <x v="37"/>
    <x v="0"/>
    <x v="6"/>
  </r>
  <r>
    <x v="38"/>
    <x v="38"/>
    <x v="2"/>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x v="0"/>
    <n v="1"/>
    <x v="0"/>
  </r>
  <r>
    <x v="0"/>
    <x v="1"/>
    <x v="0"/>
    <x v="0"/>
    <x v="1"/>
    <n v="3"/>
    <x v="1"/>
  </r>
  <r>
    <x v="0"/>
    <x v="1"/>
    <x v="0"/>
    <x v="1"/>
    <x v="2"/>
    <n v="2"/>
    <x v="2"/>
  </r>
  <r>
    <x v="1"/>
    <x v="2"/>
    <x v="1"/>
    <x v="2"/>
    <x v="3"/>
    <n v="2"/>
    <x v="3"/>
  </r>
  <r>
    <x v="2"/>
    <x v="2"/>
    <x v="2"/>
    <x v="3"/>
    <x v="4"/>
    <n v="2"/>
    <x v="4"/>
  </r>
  <r>
    <x v="2"/>
    <x v="2"/>
    <x v="2"/>
    <x v="4"/>
    <x v="5"/>
    <n v="3"/>
    <x v="5"/>
  </r>
  <r>
    <x v="2"/>
    <x v="2"/>
    <x v="2"/>
    <x v="5"/>
    <x v="6"/>
    <n v="5"/>
    <x v="6"/>
  </r>
  <r>
    <x v="3"/>
    <x v="2"/>
    <x v="3"/>
    <x v="6"/>
    <x v="7"/>
    <n v="7"/>
    <x v="7"/>
  </r>
  <r>
    <x v="3"/>
    <x v="2"/>
    <x v="3"/>
    <x v="7"/>
    <x v="8"/>
    <n v="2"/>
    <x v="8"/>
  </r>
  <r>
    <x v="4"/>
    <x v="3"/>
    <x v="4"/>
    <x v="8"/>
    <x v="9"/>
    <n v="4"/>
    <x v="9"/>
  </r>
  <r>
    <x v="5"/>
    <x v="3"/>
    <x v="5"/>
    <x v="9"/>
    <x v="10"/>
    <n v="1"/>
    <x v="10"/>
  </r>
  <r>
    <x v="5"/>
    <x v="3"/>
    <x v="5"/>
    <x v="10"/>
    <x v="11"/>
    <n v="6"/>
    <x v="11"/>
  </r>
  <r>
    <x v="6"/>
    <x v="4"/>
    <x v="6"/>
    <x v="11"/>
    <x v="12"/>
    <n v="6"/>
    <x v="12"/>
  </r>
  <r>
    <x v="6"/>
    <x v="4"/>
    <x v="6"/>
    <x v="12"/>
    <x v="13"/>
    <n v="2"/>
    <x v="13"/>
  </r>
  <r>
    <x v="6"/>
    <x v="4"/>
    <x v="6"/>
    <x v="13"/>
    <x v="14"/>
    <n v="2"/>
    <x v="14"/>
  </r>
  <r>
    <x v="7"/>
    <x v="5"/>
    <x v="7"/>
    <x v="14"/>
    <x v="15"/>
    <n v="1"/>
    <x v="15"/>
  </r>
  <r>
    <x v="8"/>
    <x v="5"/>
    <x v="8"/>
    <x v="15"/>
    <x v="16"/>
    <n v="3"/>
    <x v="16"/>
  </r>
  <r>
    <x v="8"/>
    <x v="5"/>
    <x v="8"/>
    <x v="16"/>
    <x v="17"/>
    <n v="5"/>
    <x v="17"/>
  </r>
  <r>
    <x v="9"/>
    <x v="6"/>
    <x v="9"/>
    <x v="17"/>
    <x v="18"/>
    <n v="6"/>
    <x v="18"/>
  </r>
  <r>
    <x v="9"/>
    <x v="6"/>
    <x v="9"/>
    <x v="18"/>
    <x v="19"/>
    <n v="7"/>
    <x v="19"/>
  </r>
  <r>
    <x v="10"/>
    <x v="6"/>
    <x v="10"/>
    <x v="19"/>
    <x v="20"/>
    <n v="7"/>
    <x v="20"/>
  </r>
  <r>
    <x v="10"/>
    <x v="6"/>
    <x v="10"/>
    <x v="20"/>
    <x v="21"/>
    <n v="3"/>
    <x v="21"/>
  </r>
  <r>
    <x v="10"/>
    <x v="6"/>
    <x v="10"/>
    <x v="21"/>
    <x v="22"/>
    <n v="2"/>
    <x v="22"/>
  </r>
  <r>
    <x v="11"/>
    <x v="7"/>
    <x v="11"/>
    <x v="22"/>
    <x v="23"/>
    <n v="5"/>
    <x v="23"/>
  </r>
  <r>
    <x v="11"/>
    <x v="7"/>
    <x v="11"/>
    <x v="23"/>
    <x v="24"/>
    <n v="9"/>
    <x v="24"/>
  </r>
  <r>
    <x v="12"/>
    <x v="7"/>
    <x v="12"/>
    <x v="24"/>
    <x v="25"/>
    <n v="2"/>
    <x v="25"/>
  </r>
  <r>
    <x v="13"/>
    <x v="8"/>
    <x v="13"/>
    <x v="25"/>
    <x v="26"/>
    <n v="4"/>
    <x v="26"/>
  </r>
  <r>
    <x v="13"/>
    <x v="8"/>
    <x v="13"/>
    <x v="26"/>
    <x v="27"/>
    <n v="2"/>
    <x v="27"/>
  </r>
  <r>
    <x v="14"/>
    <x v="8"/>
    <x v="14"/>
    <x v="27"/>
    <x v="28"/>
    <n v="5"/>
    <x v="28"/>
  </r>
  <r>
    <x v="15"/>
    <x v="9"/>
    <x v="15"/>
    <x v="28"/>
    <x v="29"/>
    <n v="3"/>
    <x v="29"/>
  </r>
  <r>
    <x v="15"/>
    <x v="9"/>
    <x v="15"/>
    <x v="29"/>
    <x v="30"/>
    <n v="3"/>
    <x v="30"/>
  </r>
  <r>
    <x v="15"/>
    <x v="9"/>
    <x v="15"/>
    <x v="30"/>
    <x v="31"/>
    <n v="2"/>
    <x v="31"/>
  </r>
  <r>
    <x v="16"/>
    <x v="9"/>
    <x v="16"/>
    <x v="31"/>
    <x v="32"/>
    <n v="14"/>
    <x v="32"/>
  </r>
  <r>
    <x v="17"/>
    <x v="10"/>
    <x v="17"/>
    <x v="32"/>
    <x v="33"/>
    <n v="2"/>
    <x v="33"/>
  </r>
  <r>
    <x v="17"/>
    <x v="10"/>
    <x v="17"/>
    <x v="33"/>
    <x v="34"/>
    <n v="8"/>
    <x v="34"/>
  </r>
  <r>
    <x v="18"/>
    <x v="11"/>
    <x v="18"/>
    <x v="34"/>
    <x v="35"/>
    <n v="2"/>
    <x v="35"/>
  </r>
  <r>
    <x v="18"/>
    <x v="11"/>
    <x v="18"/>
    <x v="35"/>
    <x v="36"/>
    <n v="2"/>
    <x v="36"/>
  </r>
  <r>
    <x v="18"/>
    <x v="11"/>
    <x v="18"/>
    <x v="36"/>
    <x v="37"/>
    <n v="3"/>
    <x v="37"/>
  </r>
  <r>
    <x v="19"/>
    <x v="11"/>
    <x v="19"/>
    <x v="37"/>
    <x v="38"/>
    <n v="1"/>
    <x v="38"/>
  </r>
  <r>
    <x v="20"/>
    <x v="11"/>
    <x v="20"/>
    <x v="38"/>
    <x v="39"/>
    <n v="4"/>
    <x v="3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x v="0"/>
    <x v="0"/>
  </r>
  <r>
    <x v="0"/>
    <x v="1"/>
    <x v="1"/>
  </r>
  <r>
    <x v="1"/>
    <x v="2"/>
    <x v="2"/>
  </r>
  <r>
    <x v="2"/>
    <x v="3"/>
    <x v="3"/>
  </r>
  <r>
    <x v="3"/>
    <x v="4"/>
    <x v="4"/>
  </r>
  <r>
    <x v="4"/>
    <x v="5"/>
    <x v="5"/>
  </r>
  <r>
    <x v="5"/>
    <x v="6"/>
    <x v="6"/>
  </r>
  <r>
    <x v="6"/>
    <x v="7"/>
    <x v="7"/>
  </r>
  <r>
    <x v="7"/>
    <x v="8"/>
    <x v="8"/>
  </r>
  <r>
    <x v="8"/>
    <x v="9"/>
    <x v="9"/>
  </r>
  <r>
    <x v="9"/>
    <x v="10"/>
    <x v="10"/>
  </r>
  <r>
    <x v="10"/>
    <x v="11"/>
    <x v="8"/>
  </r>
  <r>
    <x v="11"/>
    <x v="12"/>
    <x v="11"/>
  </r>
  <r>
    <x v="12"/>
    <x v="13"/>
    <x v="12"/>
  </r>
  <r>
    <x v="13"/>
    <x v="14"/>
    <x v="13"/>
  </r>
  <r>
    <x v="14"/>
    <x v="15"/>
    <x v="14"/>
  </r>
  <r>
    <x v="15"/>
    <x v="16"/>
    <x v="15"/>
  </r>
  <r>
    <x v="16"/>
    <x v="17"/>
    <x v="16"/>
  </r>
  <r>
    <x v="17"/>
    <x v="16"/>
    <x v="5"/>
  </r>
  <r>
    <x v="18"/>
    <x v="18"/>
    <x v="17"/>
  </r>
  <r>
    <x v="19"/>
    <x v="19"/>
    <x v="18"/>
  </r>
  <r>
    <x v="20"/>
    <x v="20"/>
    <x v="16"/>
  </r>
  <r>
    <x v="21"/>
    <x v="21"/>
    <x v="19"/>
  </r>
  <r>
    <x v="22"/>
    <x v="22"/>
    <x v="20"/>
  </r>
  <r>
    <x v="23"/>
    <x v="23"/>
    <x v="21"/>
  </r>
  <r>
    <x v="24"/>
    <x v="24"/>
    <x v="22"/>
  </r>
  <r>
    <x v="25"/>
    <x v="25"/>
    <x v="23"/>
  </r>
  <r>
    <x v="26"/>
    <x v="26"/>
    <x v="18"/>
  </r>
  <r>
    <x v="27"/>
    <x v="27"/>
    <x v="24"/>
  </r>
  <r>
    <x v="28"/>
    <x v="28"/>
    <x v="25"/>
  </r>
  <r>
    <x v="29"/>
    <x v="29"/>
    <x v="2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r>
  <r>
    <x v="1"/>
    <x v="1"/>
  </r>
  <r>
    <x v="2"/>
    <x v="2"/>
  </r>
  <r>
    <x v="3"/>
    <x v="3"/>
  </r>
  <r>
    <x v="4"/>
    <x v="4"/>
  </r>
  <r>
    <x v="5"/>
    <x v="5"/>
  </r>
  <r>
    <x v="6"/>
    <x v="6"/>
  </r>
  <r>
    <x v="7"/>
    <x v="7"/>
  </r>
  <r>
    <x v="8"/>
    <x v="8"/>
  </r>
  <r>
    <x v="9"/>
    <x v="9"/>
  </r>
  <r>
    <x v="10"/>
    <x v="10"/>
  </r>
  <r>
    <x v="11"/>
    <x v="11"/>
  </r>
  <r>
    <x v="12"/>
    <x v="12"/>
  </r>
  <r>
    <x v="13"/>
    <x v="3"/>
  </r>
  <r>
    <x v="14"/>
    <x v="4"/>
  </r>
  <r>
    <x v="15"/>
    <x v="5"/>
  </r>
  <r>
    <x v="16"/>
    <x v="6"/>
  </r>
  <r>
    <x v="17"/>
    <x v="7"/>
  </r>
  <r>
    <x v="18"/>
    <x v="8"/>
  </r>
  <r>
    <x v="19"/>
    <x v="9"/>
  </r>
  <r>
    <x v="20"/>
    <x v="10"/>
  </r>
  <r>
    <x v="21"/>
    <x v="11"/>
  </r>
  <r>
    <x v="22"/>
    <x v="13"/>
  </r>
  <r>
    <x v="23"/>
    <x v="14"/>
  </r>
  <r>
    <x v="24"/>
    <x v="15"/>
  </r>
  <r>
    <x v="25"/>
    <x v="16"/>
  </r>
  <r>
    <x v="26"/>
    <x v="17"/>
  </r>
  <r>
    <x v="27"/>
    <x v="18"/>
  </r>
  <r>
    <x v="28"/>
    <x v="19"/>
  </r>
  <r>
    <x v="29"/>
    <x v="20"/>
  </r>
  <r>
    <x v="30"/>
    <x v="21"/>
  </r>
  <r>
    <x v="31"/>
    <x v="22"/>
  </r>
  <r>
    <x v="32"/>
    <x v="23"/>
  </r>
  <r>
    <x v="33"/>
    <x v="24"/>
  </r>
  <r>
    <x v="34"/>
    <x v="25"/>
  </r>
  <r>
    <x v="35"/>
    <x v="26"/>
  </r>
  <r>
    <x v="36"/>
    <x v="7"/>
  </r>
  <r>
    <x v="37"/>
    <x v="8"/>
  </r>
  <r>
    <x v="38"/>
    <x v="9"/>
  </r>
  <r>
    <x v="39"/>
    <x v="10"/>
  </r>
  <r>
    <x v="40"/>
    <x v="11"/>
  </r>
  <r>
    <x v="41"/>
    <x v="13"/>
  </r>
  <r>
    <x v="42"/>
    <x v="14"/>
  </r>
  <r>
    <x v="43"/>
    <x v="27"/>
  </r>
  <r>
    <x v="44"/>
    <x v="28"/>
  </r>
  <r>
    <x v="45"/>
    <x v="29"/>
  </r>
  <r>
    <x v="46"/>
    <x v="30"/>
  </r>
  <r>
    <x v="47"/>
    <x v="31"/>
  </r>
  <r>
    <x v="48"/>
    <x v="20"/>
  </r>
  <r>
    <x v="49"/>
    <x v="21"/>
  </r>
  <r>
    <x v="50"/>
    <x v="22"/>
  </r>
  <r>
    <x v="51"/>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EC0FE1-8761-496D-A1D2-DA4E3FA1C248}" name="PivotTable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Q21:R64" firstHeaderRow="1" firstDataRow="1" firstDataCol="1" rowPageCount="3" colPageCount="1"/>
  <pivotFields count="5">
    <pivotField axis="axisRow" showAll="0">
      <items count="43">
        <item x="17"/>
        <item x="6"/>
        <item x="21"/>
        <item x="0"/>
        <item x="3"/>
        <item x="5"/>
        <item x="30"/>
        <item x="2"/>
        <item x="32"/>
        <item x="33"/>
        <item x="23"/>
        <item x="27"/>
        <item x="15"/>
        <item x="41"/>
        <item x="24"/>
        <item x="18"/>
        <item x="7"/>
        <item x="4"/>
        <item x="22"/>
        <item x="29"/>
        <item x="40"/>
        <item x="34"/>
        <item x="14"/>
        <item x="36"/>
        <item x="37"/>
        <item x="9"/>
        <item x="13"/>
        <item x="11"/>
        <item x="1"/>
        <item x="28"/>
        <item x="12"/>
        <item x="16"/>
        <item x="8"/>
        <item x="26"/>
        <item x="19"/>
        <item x="38"/>
        <item x="39"/>
        <item x="31"/>
        <item x="35"/>
        <item x="25"/>
        <item x="10"/>
        <item x="20"/>
        <item t="default"/>
      </items>
    </pivotField>
    <pivotField axis="axisPage" showAll="0">
      <items count="43">
        <item x="17"/>
        <item x="6"/>
        <item x="5"/>
        <item x="21"/>
        <item x="3"/>
        <item x="30"/>
        <item x="0"/>
        <item x="27"/>
        <item x="2"/>
        <item x="32"/>
        <item x="23"/>
        <item x="33"/>
        <item x="41"/>
        <item x="18"/>
        <item x="15"/>
        <item x="7"/>
        <item x="24"/>
        <item x="22"/>
        <item x="4"/>
        <item x="29"/>
        <item x="40"/>
        <item x="34"/>
        <item x="9"/>
        <item x="37"/>
        <item x="36"/>
        <item x="14"/>
        <item x="13"/>
        <item x="11"/>
        <item x="1"/>
        <item x="28"/>
        <item x="16"/>
        <item x="12"/>
        <item x="8"/>
        <item x="26"/>
        <item x="19"/>
        <item x="38"/>
        <item x="25"/>
        <item x="39"/>
        <item x="31"/>
        <item x="35"/>
        <item x="10"/>
        <item x="20"/>
        <item t="default"/>
      </items>
    </pivotField>
    <pivotField axis="axisPage" showAll="0">
      <items count="32">
        <item x="8"/>
        <item x="3"/>
        <item x="25"/>
        <item x="4"/>
        <item x="29"/>
        <item x="24"/>
        <item x="16"/>
        <item x="17"/>
        <item x="19"/>
        <item x="23"/>
        <item x="9"/>
        <item x="11"/>
        <item x="0"/>
        <item x="26"/>
        <item x="6"/>
        <item x="14"/>
        <item x="1"/>
        <item x="22"/>
        <item x="20"/>
        <item x="7"/>
        <item x="5"/>
        <item x="27"/>
        <item x="10"/>
        <item x="30"/>
        <item x="2"/>
        <item x="21"/>
        <item x="28"/>
        <item x="13"/>
        <item x="15"/>
        <item x="12"/>
        <item x="18"/>
        <item t="default"/>
      </items>
    </pivotField>
    <pivotField axis="axisPage" showAll="0">
      <items count="19">
        <item x="1"/>
        <item x="11"/>
        <item x="6"/>
        <item x="14"/>
        <item x="17"/>
        <item x="0"/>
        <item x="16"/>
        <item x="13"/>
        <item x="10"/>
        <item x="12"/>
        <item x="4"/>
        <item x="8"/>
        <item x="3"/>
        <item x="5"/>
        <item x="2"/>
        <item x="15"/>
        <item x="9"/>
        <item x="7"/>
        <item t="default"/>
      </items>
    </pivotField>
    <pivotField dataField="1" showAll="0">
      <items count="4">
        <item x="0"/>
        <item x="2"/>
        <item x="1"/>
        <item t="default"/>
      </items>
    </pivotField>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pageFields count="3">
    <pageField fld="2" hier="-1"/>
    <pageField fld="3" hier="-1"/>
    <pageField fld="1" hier="-1"/>
  </pageFields>
  <dataFields count="1">
    <dataField name="Count of Segment" fld="4" subtotal="count" baseField="0" baseItem="0"/>
  </dataFields>
  <chartFormats count="146">
    <chartFormat chart="0" format="42" series="1">
      <pivotArea type="data" outline="0" fieldPosition="0">
        <references count="1">
          <reference field="2" count="1" selected="0">
            <x v="0"/>
          </reference>
        </references>
      </pivotArea>
    </chartFormat>
    <chartFormat chart="0" format="43" series="1">
      <pivotArea type="data" outline="0" fieldPosition="0">
        <references count="1">
          <reference field="2" count="1" selected="0">
            <x v="1"/>
          </reference>
        </references>
      </pivotArea>
    </chartFormat>
    <chartFormat chart="0" format="44" series="1">
      <pivotArea type="data" outline="0" fieldPosition="0">
        <references count="1">
          <reference field="2" count="1" selected="0">
            <x v="2"/>
          </reference>
        </references>
      </pivotArea>
    </chartFormat>
    <chartFormat chart="0" format="45" series="1">
      <pivotArea type="data" outline="0" fieldPosition="0">
        <references count="1">
          <reference field="2" count="1" selected="0">
            <x v="3"/>
          </reference>
        </references>
      </pivotArea>
    </chartFormat>
    <chartFormat chart="0" format="46" series="1">
      <pivotArea type="data" outline="0" fieldPosition="0">
        <references count="1">
          <reference field="2" count="1" selected="0">
            <x v="4"/>
          </reference>
        </references>
      </pivotArea>
    </chartFormat>
    <chartFormat chart="0" format="47" series="1">
      <pivotArea type="data" outline="0" fieldPosition="0">
        <references count="1">
          <reference field="2" count="1" selected="0">
            <x v="5"/>
          </reference>
        </references>
      </pivotArea>
    </chartFormat>
    <chartFormat chart="0" format="48" series="1">
      <pivotArea type="data" outline="0" fieldPosition="0">
        <references count="1">
          <reference field="2" count="1" selected="0">
            <x v="6"/>
          </reference>
        </references>
      </pivotArea>
    </chartFormat>
    <chartFormat chart="0" format="49" series="1">
      <pivotArea type="data" outline="0" fieldPosition="0">
        <references count="1">
          <reference field="2" count="1" selected="0">
            <x v="7"/>
          </reference>
        </references>
      </pivotArea>
    </chartFormat>
    <chartFormat chart="0" format="50" series="1">
      <pivotArea type="data" outline="0" fieldPosition="0">
        <references count="1">
          <reference field="2" count="1" selected="0">
            <x v="8"/>
          </reference>
        </references>
      </pivotArea>
    </chartFormat>
    <chartFormat chart="0" format="51" series="1">
      <pivotArea type="data" outline="0" fieldPosition="0">
        <references count="1">
          <reference field="2" count="1" selected="0">
            <x v="9"/>
          </reference>
        </references>
      </pivotArea>
    </chartFormat>
    <chartFormat chart="0" format="52" series="1">
      <pivotArea type="data" outline="0" fieldPosition="0">
        <references count="1">
          <reference field="2" count="1" selected="0">
            <x v="10"/>
          </reference>
        </references>
      </pivotArea>
    </chartFormat>
    <chartFormat chart="0" format="53" series="1">
      <pivotArea type="data" outline="0" fieldPosition="0">
        <references count="1">
          <reference field="2" count="1" selected="0">
            <x v="11"/>
          </reference>
        </references>
      </pivotArea>
    </chartFormat>
    <chartFormat chart="0" format="54" series="1">
      <pivotArea type="data" outline="0" fieldPosition="0">
        <references count="1">
          <reference field="2" count="1" selected="0">
            <x v="12"/>
          </reference>
        </references>
      </pivotArea>
    </chartFormat>
    <chartFormat chart="0" format="55" series="1">
      <pivotArea type="data" outline="0" fieldPosition="0">
        <references count="1">
          <reference field="2" count="1" selected="0">
            <x v="13"/>
          </reference>
        </references>
      </pivotArea>
    </chartFormat>
    <chartFormat chart="0" format="56" series="1">
      <pivotArea type="data" outline="0" fieldPosition="0">
        <references count="1">
          <reference field="2" count="1" selected="0">
            <x v="14"/>
          </reference>
        </references>
      </pivotArea>
    </chartFormat>
    <chartFormat chart="0" format="57" series="1">
      <pivotArea type="data" outline="0" fieldPosition="0">
        <references count="1">
          <reference field="2" count="1" selected="0">
            <x v="15"/>
          </reference>
        </references>
      </pivotArea>
    </chartFormat>
    <chartFormat chart="0" format="58" series="1">
      <pivotArea type="data" outline="0" fieldPosition="0">
        <references count="1">
          <reference field="2" count="1" selected="0">
            <x v="16"/>
          </reference>
        </references>
      </pivotArea>
    </chartFormat>
    <chartFormat chart="0" format="59" series="1">
      <pivotArea type="data" outline="0" fieldPosition="0">
        <references count="1">
          <reference field="2" count="1" selected="0">
            <x v="17"/>
          </reference>
        </references>
      </pivotArea>
    </chartFormat>
    <chartFormat chart="0" format="60" series="1">
      <pivotArea type="data" outline="0" fieldPosition="0">
        <references count="1">
          <reference field="2" count="1" selected="0">
            <x v="18"/>
          </reference>
        </references>
      </pivotArea>
    </chartFormat>
    <chartFormat chart="0" format="61" series="1">
      <pivotArea type="data" outline="0" fieldPosition="0">
        <references count="1">
          <reference field="2" count="1" selected="0">
            <x v="19"/>
          </reference>
        </references>
      </pivotArea>
    </chartFormat>
    <chartFormat chart="0" format="62" series="1">
      <pivotArea type="data" outline="0" fieldPosition="0">
        <references count="1">
          <reference field="2" count="1" selected="0">
            <x v="20"/>
          </reference>
        </references>
      </pivotArea>
    </chartFormat>
    <chartFormat chart="0" format="63" series="1">
      <pivotArea type="data" outline="0" fieldPosition="0">
        <references count="1">
          <reference field="2" count="1" selected="0">
            <x v="21"/>
          </reference>
        </references>
      </pivotArea>
    </chartFormat>
    <chartFormat chart="0" format="64" series="1">
      <pivotArea type="data" outline="0" fieldPosition="0">
        <references count="1">
          <reference field="2" count="1" selected="0">
            <x v="22"/>
          </reference>
        </references>
      </pivotArea>
    </chartFormat>
    <chartFormat chart="0" format="65" series="1">
      <pivotArea type="data" outline="0" fieldPosition="0">
        <references count="1">
          <reference field="2" count="1" selected="0">
            <x v="23"/>
          </reference>
        </references>
      </pivotArea>
    </chartFormat>
    <chartFormat chart="0" format="66" series="1">
      <pivotArea type="data" outline="0" fieldPosition="0">
        <references count="1">
          <reference field="2" count="1" selected="0">
            <x v="24"/>
          </reference>
        </references>
      </pivotArea>
    </chartFormat>
    <chartFormat chart="0" format="67" series="1">
      <pivotArea type="data" outline="0" fieldPosition="0">
        <references count="1">
          <reference field="2" count="1" selected="0">
            <x v="25"/>
          </reference>
        </references>
      </pivotArea>
    </chartFormat>
    <chartFormat chart="0" format="68" series="1">
      <pivotArea type="data" outline="0" fieldPosition="0">
        <references count="1">
          <reference field="2" count="1" selected="0">
            <x v="26"/>
          </reference>
        </references>
      </pivotArea>
    </chartFormat>
    <chartFormat chart="0" format="69" series="1">
      <pivotArea type="data" outline="0" fieldPosition="0">
        <references count="1">
          <reference field="2" count="1" selected="0">
            <x v="27"/>
          </reference>
        </references>
      </pivotArea>
    </chartFormat>
    <chartFormat chart="0" format="70" series="1">
      <pivotArea type="data" outline="0" fieldPosition="0">
        <references count="1">
          <reference field="2" count="1" selected="0">
            <x v="28"/>
          </reference>
        </references>
      </pivotArea>
    </chartFormat>
    <chartFormat chart="0" format="71" series="1">
      <pivotArea type="data" outline="0" fieldPosition="0">
        <references count="1">
          <reference field="2" count="1" selected="0">
            <x v="29"/>
          </reference>
        </references>
      </pivotArea>
    </chartFormat>
    <chartFormat chart="0" format="72" series="1">
      <pivotArea type="data" outline="0" fieldPosition="0">
        <references count="1">
          <reference field="2" count="1" selected="0">
            <x v="30"/>
          </reference>
        </references>
      </pivotArea>
    </chartFormat>
    <chartFormat chart="0" format="73" series="1">
      <pivotArea type="data" outline="0" fieldPosition="0">
        <references count="1">
          <reference field="3" count="1" selected="0">
            <x v="0"/>
          </reference>
        </references>
      </pivotArea>
    </chartFormat>
    <chartFormat chart="0" format="74" series="1">
      <pivotArea type="data" outline="0" fieldPosition="0">
        <references count="1">
          <reference field="3" count="1" selected="0">
            <x v="1"/>
          </reference>
        </references>
      </pivotArea>
    </chartFormat>
    <chartFormat chart="0" format="75" series="1">
      <pivotArea type="data" outline="0" fieldPosition="0">
        <references count="1">
          <reference field="3" count="1" selected="0">
            <x v="2"/>
          </reference>
        </references>
      </pivotArea>
    </chartFormat>
    <chartFormat chart="0" format="76" series="1">
      <pivotArea type="data" outline="0" fieldPosition="0">
        <references count="1">
          <reference field="3" count="1" selected="0">
            <x v="3"/>
          </reference>
        </references>
      </pivotArea>
    </chartFormat>
    <chartFormat chart="0" format="77" series="1">
      <pivotArea type="data" outline="0" fieldPosition="0">
        <references count="1">
          <reference field="3" count="1" selected="0">
            <x v="4"/>
          </reference>
        </references>
      </pivotArea>
    </chartFormat>
    <chartFormat chart="0" format="78" series="1">
      <pivotArea type="data" outline="0" fieldPosition="0">
        <references count="1">
          <reference field="3" count="1" selected="0">
            <x v="5"/>
          </reference>
        </references>
      </pivotArea>
    </chartFormat>
    <chartFormat chart="0" format="79" series="1">
      <pivotArea type="data" outline="0" fieldPosition="0">
        <references count="1">
          <reference field="3" count="1" selected="0">
            <x v="6"/>
          </reference>
        </references>
      </pivotArea>
    </chartFormat>
    <chartFormat chart="0" format="80" series="1">
      <pivotArea type="data" outline="0" fieldPosition="0">
        <references count="1">
          <reference field="3" count="1" selected="0">
            <x v="7"/>
          </reference>
        </references>
      </pivotArea>
    </chartFormat>
    <chartFormat chart="0" format="81" series="1">
      <pivotArea type="data" outline="0" fieldPosition="0">
        <references count="1">
          <reference field="3" count="1" selected="0">
            <x v="8"/>
          </reference>
        </references>
      </pivotArea>
    </chartFormat>
    <chartFormat chart="0" format="82" series="1">
      <pivotArea type="data" outline="0" fieldPosition="0">
        <references count="1">
          <reference field="3" count="1" selected="0">
            <x v="9"/>
          </reference>
        </references>
      </pivotArea>
    </chartFormat>
    <chartFormat chart="0" format="83" series="1">
      <pivotArea type="data" outline="0" fieldPosition="0">
        <references count="1">
          <reference field="3" count="1" selected="0">
            <x v="10"/>
          </reference>
        </references>
      </pivotArea>
    </chartFormat>
    <chartFormat chart="0" format="84" series="1">
      <pivotArea type="data" outline="0" fieldPosition="0">
        <references count="1">
          <reference field="3" count="1" selected="0">
            <x v="11"/>
          </reference>
        </references>
      </pivotArea>
    </chartFormat>
    <chartFormat chart="0" format="85" series="1">
      <pivotArea type="data" outline="0" fieldPosition="0">
        <references count="1">
          <reference field="3" count="1" selected="0">
            <x v="12"/>
          </reference>
        </references>
      </pivotArea>
    </chartFormat>
    <chartFormat chart="0" format="86" series="1">
      <pivotArea type="data" outline="0" fieldPosition="0">
        <references count="1">
          <reference field="3" count="1" selected="0">
            <x v="13"/>
          </reference>
        </references>
      </pivotArea>
    </chartFormat>
    <chartFormat chart="0" format="87" series="1">
      <pivotArea type="data" outline="0" fieldPosition="0">
        <references count="1">
          <reference field="3" count="1" selected="0">
            <x v="14"/>
          </reference>
        </references>
      </pivotArea>
    </chartFormat>
    <chartFormat chart="0" format="88" series="1">
      <pivotArea type="data" outline="0" fieldPosition="0">
        <references count="1">
          <reference field="3" count="1" selected="0">
            <x v="15"/>
          </reference>
        </references>
      </pivotArea>
    </chartFormat>
    <chartFormat chart="0" format="89" series="1">
      <pivotArea type="data" outline="0" fieldPosition="0">
        <references count="1">
          <reference field="3" count="1" selected="0">
            <x v="16"/>
          </reference>
        </references>
      </pivotArea>
    </chartFormat>
    <chartFormat chart="0" format="90" series="1">
      <pivotArea type="data" outline="0" fieldPosition="0">
        <references count="1">
          <reference field="3" count="1" selected="0">
            <x v="17"/>
          </reference>
        </references>
      </pivotArea>
    </chartFormat>
    <chartFormat chart="0" format="9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4" series="1">
      <pivotArea type="data" outline="0" fieldPosition="0">
        <references count="1">
          <reference field="4294967294" count="1" selected="0">
            <x v="0"/>
          </reference>
        </references>
      </pivotArea>
    </chartFormat>
    <chartFormat chart="12" format="45">
      <pivotArea type="data" outline="0" fieldPosition="0">
        <references count="2">
          <reference field="4294967294" count="1" selected="0">
            <x v="0"/>
          </reference>
          <reference field="0" count="1" selected="0">
            <x v="0"/>
          </reference>
        </references>
      </pivotArea>
    </chartFormat>
    <chartFormat chart="12" format="46">
      <pivotArea type="data" outline="0" fieldPosition="0">
        <references count="2">
          <reference field="4294967294" count="1" selected="0">
            <x v="0"/>
          </reference>
          <reference field="0" count="1" selected="0">
            <x v="1"/>
          </reference>
        </references>
      </pivotArea>
    </chartFormat>
    <chartFormat chart="12" format="47">
      <pivotArea type="data" outline="0" fieldPosition="0">
        <references count="2">
          <reference field="4294967294" count="1" selected="0">
            <x v="0"/>
          </reference>
          <reference field="0" count="1" selected="0">
            <x v="2"/>
          </reference>
        </references>
      </pivotArea>
    </chartFormat>
    <chartFormat chart="12" format="48">
      <pivotArea type="data" outline="0" fieldPosition="0">
        <references count="2">
          <reference field="4294967294" count="1" selected="0">
            <x v="0"/>
          </reference>
          <reference field="0" count="1" selected="0">
            <x v="3"/>
          </reference>
        </references>
      </pivotArea>
    </chartFormat>
    <chartFormat chart="12" format="49">
      <pivotArea type="data" outline="0" fieldPosition="0">
        <references count="2">
          <reference field="4294967294" count="1" selected="0">
            <x v="0"/>
          </reference>
          <reference field="0" count="1" selected="0">
            <x v="4"/>
          </reference>
        </references>
      </pivotArea>
    </chartFormat>
    <chartFormat chart="12" format="50">
      <pivotArea type="data" outline="0" fieldPosition="0">
        <references count="2">
          <reference field="4294967294" count="1" selected="0">
            <x v="0"/>
          </reference>
          <reference field="0" count="1" selected="0">
            <x v="5"/>
          </reference>
        </references>
      </pivotArea>
    </chartFormat>
    <chartFormat chart="12" format="51">
      <pivotArea type="data" outline="0" fieldPosition="0">
        <references count="2">
          <reference field="4294967294" count="1" selected="0">
            <x v="0"/>
          </reference>
          <reference field="0" count="1" selected="0">
            <x v="6"/>
          </reference>
        </references>
      </pivotArea>
    </chartFormat>
    <chartFormat chart="12" format="52">
      <pivotArea type="data" outline="0" fieldPosition="0">
        <references count="2">
          <reference field="4294967294" count="1" selected="0">
            <x v="0"/>
          </reference>
          <reference field="0" count="1" selected="0">
            <x v="7"/>
          </reference>
        </references>
      </pivotArea>
    </chartFormat>
    <chartFormat chart="12" format="53">
      <pivotArea type="data" outline="0" fieldPosition="0">
        <references count="2">
          <reference field="4294967294" count="1" selected="0">
            <x v="0"/>
          </reference>
          <reference field="0" count="1" selected="0">
            <x v="8"/>
          </reference>
        </references>
      </pivotArea>
    </chartFormat>
    <chartFormat chart="12" format="54">
      <pivotArea type="data" outline="0" fieldPosition="0">
        <references count="2">
          <reference field="4294967294" count="1" selected="0">
            <x v="0"/>
          </reference>
          <reference field="0" count="1" selected="0">
            <x v="9"/>
          </reference>
        </references>
      </pivotArea>
    </chartFormat>
    <chartFormat chart="12" format="55">
      <pivotArea type="data" outline="0" fieldPosition="0">
        <references count="2">
          <reference field="4294967294" count="1" selected="0">
            <x v="0"/>
          </reference>
          <reference field="0" count="1" selected="0">
            <x v="10"/>
          </reference>
        </references>
      </pivotArea>
    </chartFormat>
    <chartFormat chart="12" format="56">
      <pivotArea type="data" outline="0" fieldPosition="0">
        <references count="2">
          <reference field="4294967294" count="1" selected="0">
            <x v="0"/>
          </reference>
          <reference field="0" count="1" selected="0">
            <x v="11"/>
          </reference>
        </references>
      </pivotArea>
    </chartFormat>
    <chartFormat chart="12" format="57">
      <pivotArea type="data" outline="0" fieldPosition="0">
        <references count="2">
          <reference field="4294967294" count="1" selected="0">
            <x v="0"/>
          </reference>
          <reference field="0" count="1" selected="0">
            <x v="12"/>
          </reference>
        </references>
      </pivotArea>
    </chartFormat>
    <chartFormat chart="12" format="58">
      <pivotArea type="data" outline="0" fieldPosition="0">
        <references count="2">
          <reference field="4294967294" count="1" selected="0">
            <x v="0"/>
          </reference>
          <reference field="0" count="1" selected="0">
            <x v="13"/>
          </reference>
        </references>
      </pivotArea>
    </chartFormat>
    <chartFormat chart="12" format="59">
      <pivotArea type="data" outline="0" fieldPosition="0">
        <references count="2">
          <reference field="4294967294" count="1" selected="0">
            <x v="0"/>
          </reference>
          <reference field="0" count="1" selected="0">
            <x v="14"/>
          </reference>
        </references>
      </pivotArea>
    </chartFormat>
    <chartFormat chart="12" format="60">
      <pivotArea type="data" outline="0" fieldPosition="0">
        <references count="2">
          <reference field="4294967294" count="1" selected="0">
            <x v="0"/>
          </reference>
          <reference field="0" count="1" selected="0">
            <x v="15"/>
          </reference>
        </references>
      </pivotArea>
    </chartFormat>
    <chartFormat chart="12" format="61">
      <pivotArea type="data" outline="0" fieldPosition="0">
        <references count="2">
          <reference field="4294967294" count="1" selected="0">
            <x v="0"/>
          </reference>
          <reference field="0" count="1" selected="0">
            <x v="16"/>
          </reference>
        </references>
      </pivotArea>
    </chartFormat>
    <chartFormat chart="12" format="62">
      <pivotArea type="data" outline="0" fieldPosition="0">
        <references count="2">
          <reference field="4294967294" count="1" selected="0">
            <x v="0"/>
          </reference>
          <reference field="0" count="1" selected="0">
            <x v="17"/>
          </reference>
        </references>
      </pivotArea>
    </chartFormat>
    <chartFormat chart="12" format="63">
      <pivotArea type="data" outline="0" fieldPosition="0">
        <references count="2">
          <reference field="4294967294" count="1" selected="0">
            <x v="0"/>
          </reference>
          <reference field="0" count="1" selected="0">
            <x v="18"/>
          </reference>
        </references>
      </pivotArea>
    </chartFormat>
    <chartFormat chart="12" format="64">
      <pivotArea type="data" outline="0" fieldPosition="0">
        <references count="2">
          <reference field="4294967294" count="1" selected="0">
            <x v="0"/>
          </reference>
          <reference field="0" count="1" selected="0">
            <x v="19"/>
          </reference>
        </references>
      </pivotArea>
    </chartFormat>
    <chartFormat chart="12" format="65">
      <pivotArea type="data" outline="0" fieldPosition="0">
        <references count="2">
          <reference field="4294967294" count="1" selected="0">
            <x v="0"/>
          </reference>
          <reference field="0" count="1" selected="0">
            <x v="20"/>
          </reference>
        </references>
      </pivotArea>
    </chartFormat>
    <chartFormat chart="12" format="66">
      <pivotArea type="data" outline="0" fieldPosition="0">
        <references count="2">
          <reference field="4294967294" count="1" selected="0">
            <x v="0"/>
          </reference>
          <reference field="0" count="1" selected="0">
            <x v="21"/>
          </reference>
        </references>
      </pivotArea>
    </chartFormat>
    <chartFormat chart="12" format="67">
      <pivotArea type="data" outline="0" fieldPosition="0">
        <references count="2">
          <reference field="4294967294" count="1" selected="0">
            <x v="0"/>
          </reference>
          <reference field="0" count="1" selected="0">
            <x v="22"/>
          </reference>
        </references>
      </pivotArea>
    </chartFormat>
    <chartFormat chart="12" format="68">
      <pivotArea type="data" outline="0" fieldPosition="0">
        <references count="2">
          <reference field="4294967294" count="1" selected="0">
            <x v="0"/>
          </reference>
          <reference field="0" count="1" selected="0">
            <x v="23"/>
          </reference>
        </references>
      </pivotArea>
    </chartFormat>
    <chartFormat chart="12" format="69">
      <pivotArea type="data" outline="0" fieldPosition="0">
        <references count="2">
          <reference field="4294967294" count="1" selected="0">
            <x v="0"/>
          </reference>
          <reference field="0" count="1" selected="0">
            <x v="24"/>
          </reference>
        </references>
      </pivotArea>
    </chartFormat>
    <chartFormat chart="12" format="70">
      <pivotArea type="data" outline="0" fieldPosition="0">
        <references count="2">
          <reference field="4294967294" count="1" selected="0">
            <x v="0"/>
          </reference>
          <reference field="0" count="1" selected="0">
            <x v="25"/>
          </reference>
        </references>
      </pivotArea>
    </chartFormat>
    <chartFormat chart="12" format="71">
      <pivotArea type="data" outline="0" fieldPosition="0">
        <references count="2">
          <reference field="4294967294" count="1" selected="0">
            <x v="0"/>
          </reference>
          <reference field="0" count="1" selected="0">
            <x v="26"/>
          </reference>
        </references>
      </pivotArea>
    </chartFormat>
    <chartFormat chart="12" format="72">
      <pivotArea type="data" outline="0" fieldPosition="0">
        <references count="2">
          <reference field="4294967294" count="1" selected="0">
            <x v="0"/>
          </reference>
          <reference field="0" count="1" selected="0">
            <x v="27"/>
          </reference>
        </references>
      </pivotArea>
    </chartFormat>
    <chartFormat chart="12" format="73">
      <pivotArea type="data" outline="0" fieldPosition="0">
        <references count="2">
          <reference field="4294967294" count="1" selected="0">
            <x v="0"/>
          </reference>
          <reference field="0" count="1" selected="0">
            <x v="28"/>
          </reference>
        </references>
      </pivotArea>
    </chartFormat>
    <chartFormat chart="12" format="74">
      <pivotArea type="data" outline="0" fieldPosition="0">
        <references count="2">
          <reference field="4294967294" count="1" selected="0">
            <x v="0"/>
          </reference>
          <reference field="0" count="1" selected="0">
            <x v="29"/>
          </reference>
        </references>
      </pivotArea>
    </chartFormat>
    <chartFormat chart="12" format="75">
      <pivotArea type="data" outline="0" fieldPosition="0">
        <references count="2">
          <reference field="4294967294" count="1" selected="0">
            <x v="0"/>
          </reference>
          <reference field="0" count="1" selected="0">
            <x v="30"/>
          </reference>
        </references>
      </pivotArea>
    </chartFormat>
    <chartFormat chart="12" format="76">
      <pivotArea type="data" outline="0" fieldPosition="0">
        <references count="2">
          <reference field="4294967294" count="1" selected="0">
            <x v="0"/>
          </reference>
          <reference field="0" count="1" selected="0">
            <x v="31"/>
          </reference>
        </references>
      </pivotArea>
    </chartFormat>
    <chartFormat chart="12" format="77">
      <pivotArea type="data" outline="0" fieldPosition="0">
        <references count="2">
          <reference field="4294967294" count="1" selected="0">
            <x v="0"/>
          </reference>
          <reference field="0" count="1" selected="0">
            <x v="32"/>
          </reference>
        </references>
      </pivotArea>
    </chartFormat>
    <chartFormat chart="12" format="78">
      <pivotArea type="data" outline="0" fieldPosition="0">
        <references count="2">
          <reference field="4294967294" count="1" selected="0">
            <x v="0"/>
          </reference>
          <reference field="0" count="1" selected="0">
            <x v="33"/>
          </reference>
        </references>
      </pivotArea>
    </chartFormat>
    <chartFormat chart="12" format="79">
      <pivotArea type="data" outline="0" fieldPosition="0">
        <references count="2">
          <reference field="4294967294" count="1" selected="0">
            <x v="0"/>
          </reference>
          <reference field="0" count="1" selected="0">
            <x v="34"/>
          </reference>
        </references>
      </pivotArea>
    </chartFormat>
    <chartFormat chart="12" format="80">
      <pivotArea type="data" outline="0" fieldPosition="0">
        <references count="2">
          <reference field="4294967294" count="1" selected="0">
            <x v="0"/>
          </reference>
          <reference field="0" count="1" selected="0">
            <x v="35"/>
          </reference>
        </references>
      </pivotArea>
    </chartFormat>
    <chartFormat chart="12" format="81">
      <pivotArea type="data" outline="0" fieldPosition="0">
        <references count="2">
          <reference field="4294967294" count="1" selected="0">
            <x v="0"/>
          </reference>
          <reference field="0" count="1" selected="0">
            <x v="36"/>
          </reference>
        </references>
      </pivotArea>
    </chartFormat>
    <chartFormat chart="12" format="82">
      <pivotArea type="data" outline="0" fieldPosition="0">
        <references count="2">
          <reference field="4294967294" count="1" selected="0">
            <x v="0"/>
          </reference>
          <reference field="0" count="1" selected="0">
            <x v="37"/>
          </reference>
        </references>
      </pivotArea>
    </chartFormat>
    <chartFormat chart="12" format="83">
      <pivotArea type="data" outline="0" fieldPosition="0">
        <references count="2">
          <reference field="4294967294" count="1" selected="0">
            <x v="0"/>
          </reference>
          <reference field="0" count="1" selected="0">
            <x v="38"/>
          </reference>
        </references>
      </pivotArea>
    </chartFormat>
    <chartFormat chart="12" format="84">
      <pivotArea type="data" outline="0" fieldPosition="0">
        <references count="2">
          <reference field="4294967294" count="1" selected="0">
            <x v="0"/>
          </reference>
          <reference field="0" count="1" selected="0">
            <x v="39"/>
          </reference>
        </references>
      </pivotArea>
    </chartFormat>
    <chartFormat chart="12" format="85">
      <pivotArea type="data" outline="0" fieldPosition="0">
        <references count="2">
          <reference field="4294967294" count="1" selected="0">
            <x v="0"/>
          </reference>
          <reference field="0" count="1" selected="0">
            <x v="40"/>
          </reference>
        </references>
      </pivotArea>
    </chartFormat>
    <chartFormat chart="12" format="86">
      <pivotArea type="data" outline="0" fieldPosition="0">
        <references count="2">
          <reference field="4294967294" count="1" selected="0">
            <x v="0"/>
          </reference>
          <reference field="0" count="1" selected="0">
            <x v="41"/>
          </reference>
        </references>
      </pivotArea>
    </chartFormat>
    <chartFormat chart="14" format="93"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44" series="1">
      <pivotArea type="data" outline="0" fieldPosition="0">
        <references count="1">
          <reference field="4294967294" count="1" selected="0">
            <x v="0"/>
          </reference>
        </references>
      </pivotArea>
    </chartFormat>
    <chartFormat chart="36" format="45">
      <pivotArea type="data" outline="0" fieldPosition="0">
        <references count="2">
          <reference field="4294967294" count="1" selected="0">
            <x v="0"/>
          </reference>
          <reference field="0" count="1" selected="0">
            <x v="0"/>
          </reference>
        </references>
      </pivotArea>
    </chartFormat>
    <chartFormat chart="36" format="46">
      <pivotArea type="data" outline="0" fieldPosition="0">
        <references count="2">
          <reference field="4294967294" count="1" selected="0">
            <x v="0"/>
          </reference>
          <reference field="0" count="1" selected="0">
            <x v="1"/>
          </reference>
        </references>
      </pivotArea>
    </chartFormat>
    <chartFormat chart="36" format="47">
      <pivotArea type="data" outline="0" fieldPosition="0">
        <references count="2">
          <reference field="4294967294" count="1" selected="0">
            <x v="0"/>
          </reference>
          <reference field="0" count="1" selected="0">
            <x v="2"/>
          </reference>
        </references>
      </pivotArea>
    </chartFormat>
    <chartFormat chart="36" format="48">
      <pivotArea type="data" outline="0" fieldPosition="0">
        <references count="2">
          <reference field="4294967294" count="1" selected="0">
            <x v="0"/>
          </reference>
          <reference field="0" count="1" selected="0">
            <x v="3"/>
          </reference>
        </references>
      </pivotArea>
    </chartFormat>
    <chartFormat chart="36" format="49">
      <pivotArea type="data" outline="0" fieldPosition="0">
        <references count="2">
          <reference field="4294967294" count="1" selected="0">
            <x v="0"/>
          </reference>
          <reference field="0" count="1" selected="0">
            <x v="4"/>
          </reference>
        </references>
      </pivotArea>
    </chartFormat>
    <chartFormat chart="36" format="50">
      <pivotArea type="data" outline="0" fieldPosition="0">
        <references count="2">
          <reference field="4294967294" count="1" selected="0">
            <x v="0"/>
          </reference>
          <reference field="0" count="1" selected="0">
            <x v="5"/>
          </reference>
        </references>
      </pivotArea>
    </chartFormat>
    <chartFormat chart="36" format="51">
      <pivotArea type="data" outline="0" fieldPosition="0">
        <references count="2">
          <reference field="4294967294" count="1" selected="0">
            <x v="0"/>
          </reference>
          <reference field="0" count="1" selected="0">
            <x v="6"/>
          </reference>
        </references>
      </pivotArea>
    </chartFormat>
    <chartFormat chart="36" format="52">
      <pivotArea type="data" outline="0" fieldPosition="0">
        <references count="2">
          <reference field="4294967294" count="1" selected="0">
            <x v="0"/>
          </reference>
          <reference field="0" count="1" selected="0">
            <x v="7"/>
          </reference>
        </references>
      </pivotArea>
    </chartFormat>
    <chartFormat chart="36" format="53">
      <pivotArea type="data" outline="0" fieldPosition="0">
        <references count="2">
          <reference field="4294967294" count="1" selected="0">
            <x v="0"/>
          </reference>
          <reference field="0" count="1" selected="0">
            <x v="8"/>
          </reference>
        </references>
      </pivotArea>
    </chartFormat>
    <chartFormat chart="36" format="54">
      <pivotArea type="data" outline="0" fieldPosition="0">
        <references count="2">
          <reference field="4294967294" count="1" selected="0">
            <x v="0"/>
          </reference>
          <reference field="0" count="1" selected="0">
            <x v="9"/>
          </reference>
        </references>
      </pivotArea>
    </chartFormat>
    <chartFormat chart="36" format="55">
      <pivotArea type="data" outline="0" fieldPosition="0">
        <references count="2">
          <reference field="4294967294" count="1" selected="0">
            <x v="0"/>
          </reference>
          <reference field="0" count="1" selected="0">
            <x v="10"/>
          </reference>
        </references>
      </pivotArea>
    </chartFormat>
    <chartFormat chart="36" format="56">
      <pivotArea type="data" outline="0" fieldPosition="0">
        <references count="2">
          <reference field="4294967294" count="1" selected="0">
            <x v="0"/>
          </reference>
          <reference field="0" count="1" selected="0">
            <x v="11"/>
          </reference>
        </references>
      </pivotArea>
    </chartFormat>
    <chartFormat chart="36" format="57">
      <pivotArea type="data" outline="0" fieldPosition="0">
        <references count="2">
          <reference field="4294967294" count="1" selected="0">
            <x v="0"/>
          </reference>
          <reference field="0" count="1" selected="0">
            <x v="12"/>
          </reference>
        </references>
      </pivotArea>
    </chartFormat>
    <chartFormat chart="36" format="58">
      <pivotArea type="data" outline="0" fieldPosition="0">
        <references count="2">
          <reference field="4294967294" count="1" selected="0">
            <x v="0"/>
          </reference>
          <reference field="0" count="1" selected="0">
            <x v="13"/>
          </reference>
        </references>
      </pivotArea>
    </chartFormat>
    <chartFormat chart="36" format="59">
      <pivotArea type="data" outline="0" fieldPosition="0">
        <references count="2">
          <reference field="4294967294" count="1" selected="0">
            <x v="0"/>
          </reference>
          <reference field="0" count="1" selected="0">
            <x v="14"/>
          </reference>
        </references>
      </pivotArea>
    </chartFormat>
    <chartFormat chart="36" format="60">
      <pivotArea type="data" outline="0" fieldPosition="0">
        <references count="2">
          <reference field="4294967294" count="1" selected="0">
            <x v="0"/>
          </reference>
          <reference field="0" count="1" selected="0">
            <x v="15"/>
          </reference>
        </references>
      </pivotArea>
    </chartFormat>
    <chartFormat chart="36" format="61">
      <pivotArea type="data" outline="0" fieldPosition="0">
        <references count="2">
          <reference field="4294967294" count="1" selected="0">
            <x v="0"/>
          </reference>
          <reference field="0" count="1" selected="0">
            <x v="16"/>
          </reference>
        </references>
      </pivotArea>
    </chartFormat>
    <chartFormat chart="36" format="62">
      <pivotArea type="data" outline="0" fieldPosition="0">
        <references count="2">
          <reference field="4294967294" count="1" selected="0">
            <x v="0"/>
          </reference>
          <reference field="0" count="1" selected="0">
            <x v="17"/>
          </reference>
        </references>
      </pivotArea>
    </chartFormat>
    <chartFormat chart="36" format="63">
      <pivotArea type="data" outline="0" fieldPosition="0">
        <references count="2">
          <reference field="4294967294" count="1" selected="0">
            <x v="0"/>
          </reference>
          <reference field="0" count="1" selected="0">
            <x v="18"/>
          </reference>
        </references>
      </pivotArea>
    </chartFormat>
    <chartFormat chart="36" format="64">
      <pivotArea type="data" outline="0" fieldPosition="0">
        <references count="2">
          <reference field="4294967294" count="1" selected="0">
            <x v="0"/>
          </reference>
          <reference field="0" count="1" selected="0">
            <x v="19"/>
          </reference>
        </references>
      </pivotArea>
    </chartFormat>
    <chartFormat chart="36" format="65">
      <pivotArea type="data" outline="0" fieldPosition="0">
        <references count="2">
          <reference field="4294967294" count="1" selected="0">
            <x v="0"/>
          </reference>
          <reference field="0" count="1" selected="0">
            <x v="20"/>
          </reference>
        </references>
      </pivotArea>
    </chartFormat>
    <chartFormat chart="36" format="66">
      <pivotArea type="data" outline="0" fieldPosition="0">
        <references count="2">
          <reference field="4294967294" count="1" selected="0">
            <x v="0"/>
          </reference>
          <reference field="0" count="1" selected="0">
            <x v="21"/>
          </reference>
        </references>
      </pivotArea>
    </chartFormat>
    <chartFormat chart="36" format="67">
      <pivotArea type="data" outline="0" fieldPosition="0">
        <references count="2">
          <reference field="4294967294" count="1" selected="0">
            <x v="0"/>
          </reference>
          <reference field="0" count="1" selected="0">
            <x v="22"/>
          </reference>
        </references>
      </pivotArea>
    </chartFormat>
    <chartFormat chart="36" format="68">
      <pivotArea type="data" outline="0" fieldPosition="0">
        <references count="2">
          <reference field="4294967294" count="1" selected="0">
            <x v="0"/>
          </reference>
          <reference field="0" count="1" selected="0">
            <x v="23"/>
          </reference>
        </references>
      </pivotArea>
    </chartFormat>
    <chartFormat chart="36" format="69">
      <pivotArea type="data" outline="0" fieldPosition="0">
        <references count="2">
          <reference field="4294967294" count="1" selected="0">
            <x v="0"/>
          </reference>
          <reference field="0" count="1" selected="0">
            <x v="24"/>
          </reference>
        </references>
      </pivotArea>
    </chartFormat>
    <chartFormat chart="36" format="70">
      <pivotArea type="data" outline="0" fieldPosition="0">
        <references count="2">
          <reference field="4294967294" count="1" selected="0">
            <x v="0"/>
          </reference>
          <reference field="0" count="1" selected="0">
            <x v="25"/>
          </reference>
        </references>
      </pivotArea>
    </chartFormat>
    <chartFormat chart="36" format="71">
      <pivotArea type="data" outline="0" fieldPosition="0">
        <references count="2">
          <reference field="4294967294" count="1" selected="0">
            <x v="0"/>
          </reference>
          <reference field="0" count="1" selected="0">
            <x v="26"/>
          </reference>
        </references>
      </pivotArea>
    </chartFormat>
    <chartFormat chart="36" format="72">
      <pivotArea type="data" outline="0" fieldPosition="0">
        <references count="2">
          <reference field="4294967294" count="1" selected="0">
            <x v="0"/>
          </reference>
          <reference field="0" count="1" selected="0">
            <x v="27"/>
          </reference>
        </references>
      </pivotArea>
    </chartFormat>
    <chartFormat chart="36" format="73">
      <pivotArea type="data" outline="0" fieldPosition="0">
        <references count="2">
          <reference field="4294967294" count="1" selected="0">
            <x v="0"/>
          </reference>
          <reference field="0" count="1" selected="0">
            <x v="28"/>
          </reference>
        </references>
      </pivotArea>
    </chartFormat>
    <chartFormat chart="36" format="74">
      <pivotArea type="data" outline="0" fieldPosition="0">
        <references count="2">
          <reference field="4294967294" count="1" selected="0">
            <x v="0"/>
          </reference>
          <reference field="0" count="1" selected="0">
            <x v="29"/>
          </reference>
        </references>
      </pivotArea>
    </chartFormat>
    <chartFormat chart="36" format="75">
      <pivotArea type="data" outline="0" fieldPosition="0">
        <references count="2">
          <reference field="4294967294" count="1" selected="0">
            <x v="0"/>
          </reference>
          <reference field="0" count="1" selected="0">
            <x v="30"/>
          </reference>
        </references>
      </pivotArea>
    </chartFormat>
    <chartFormat chart="36" format="76">
      <pivotArea type="data" outline="0" fieldPosition="0">
        <references count="2">
          <reference field="4294967294" count="1" selected="0">
            <x v="0"/>
          </reference>
          <reference field="0" count="1" selected="0">
            <x v="31"/>
          </reference>
        </references>
      </pivotArea>
    </chartFormat>
    <chartFormat chart="36" format="77">
      <pivotArea type="data" outline="0" fieldPosition="0">
        <references count="2">
          <reference field="4294967294" count="1" selected="0">
            <x v="0"/>
          </reference>
          <reference field="0" count="1" selected="0">
            <x v="32"/>
          </reference>
        </references>
      </pivotArea>
    </chartFormat>
    <chartFormat chart="36" format="78">
      <pivotArea type="data" outline="0" fieldPosition="0">
        <references count="2">
          <reference field="4294967294" count="1" selected="0">
            <x v="0"/>
          </reference>
          <reference field="0" count="1" selected="0">
            <x v="33"/>
          </reference>
        </references>
      </pivotArea>
    </chartFormat>
    <chartFormat chart="36" format="79">
      <pivotArea type="data" outline="0" fieldPosition="0">
        <references count="2">
          <reference field="4294967294" count="1" selected="0">
            <x v="0"/>
          </reference>
          <reference field="0" count="1" selected="0">
            <x v="34"/>
          </reference>
        </references>
      </pivotArea>
    </chartFormat>
    <chartFormat chart="36" format="80">
      <pivotArea type="data" outline="0" fieldPosition="0">
        <references count="2">
          <reference field="4294967294" count="1" selected="0">
            <x v="0"/>
          </reference>
          <reference field="0" count="1" selected="0">
            <x v="35"/>
          </reference>
        </references>
      </pivotArea>
    </chartFormat>
    <chartFormat chart="36" format="81">
      <pivotArea type="data" outline="0" fieldPosition="0">
        <references count="2">
          <reference field="4294967294" count="1" selected="0">
            <x v="0"/>
          </reference>
          <reference field="0" count="1" selected="0">
            <x v="36"/>
          </reference>
        </references>
      </pivotArea>
    </chartFormat>
    <chartFormat chart="36" format="82">
      <pivotArea type="data" outline="0" fieldPosition="0">
        <references count="2">
          <reference field="4294967294" count="1" selected="0">
            <x v="0"/>
          </reference>
          <reference field="0" count="1" selected="0">
            <x v="37"/>
          </reference>
        </references>
      </pivotArea>
    </chartFormat>
    <chartFormat chart="36" format="83">
      <pivotArea type="data" outline="0" fieldPosition="0">
        <references count="2">
          <reference field="4294967294" count="1" selected="0">
            <x v="0"/>
          </reference>
          <reference field="0" count="1" selected="0">
            <x v="38"/>
          </reference>
        </references>
      </pivotArea>
    </chartFormat>
    <chartFormat chart="36" format="84">
      <pivotArea type="data" outline="0" fieldPosition="0">
        <references count="2">
          <reference field="4294967294" count="1" selected="0">
            <x v="0"/>
          </reference>
          <reference field="0" count="1" selected="0">
            <x v="39"/>
          </reference>
        </references>
      </pivotArea>
    </chartFormat>
    <chartFormat chart="36" format="85">
      <pivotArea type="data" outline="0" fieldPosition="0">
        <references count="2">
          <reference field="4294967294" count="1" selected="0">
            <x v="0"/>
          </reference>
          <reference field="0" count="1" selected="0">
            <x v="40"/>
          </reference>
        </references>
      </pivotArea>
    </chartFormat>
    <chartFormat chart="36" format="86">
      <pivotArea type="data" outline="0" fieldPosition="0">
        <references count="2">
          <reference field="4294967294" count="1" selected="0">
            <x v="0"/>
          </reference>
          <reference field="0"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B32B0A-D800-45F2-8887-2A1726494691}" name="PivotTable10"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M23:Q64" firstHeaderRow="1" firstDataRow="2" firstDataCol="1" rowPageCount="1" colPageCount="1"/>
  <pivotFields count="4">
    <pivotField axis="axisRow" showAll="0">
      <items count="40">
        <item x="17"/>
        <item x="0"/>
        <item x="27"/>
        <item x="25"/>
        <item x="31"/>
        <item x="24"/>
        <item x="33"/>
        <item x="15"/>
        <item x="6"/>
        <item x="37"/>
        <item x="35"/>
        <item x="20"/>
        <item x="14"/>
        <item x="12"/>
        <item x="9"/>
        <item x="18"/>
        <item x="10"/>
        <item x="19"/>
        <item x="7"/>
        <item x="38"/>
        <item x="34"/>
        <item x="28"/>
        <item x="29"/>
        <item x="32"/>
        <item x="16"/>
        <item x="2"/>
        <item x="22"/>
        <item x="36"/>
        <item x="11"/>
        <item x="3"/>
        <item x="26"/>
        <item x="4"/>
        <item x="8"/>
        <item x="30"/>
        <item x="1"/>
        <item x="23"/>
        <item x="5"/>
        <item x="13"/>
        <item x="21"/>
        <item t="default"/>
      </items>
    </pivotField>
    <pivotField axis="axisPage" showAll="0">
      <items count="40">
        <item x="38"/>
        <item x="25"/>
        <item x="35"/>
        <item x="5"/>
        <item x="17"/>
        <item x="21"/>
        <item x="10"/>
        <item x="37"/>
        <item x="0"/>
        <item x="30"/>
        <item x="24"/>
        <item x="27"/>
        <item x="33"/>
        <item x="15"/>
        <item x="1"/>
        <item x="8"/>
        <item x="6"/>
        <item x="3"/>
        <item x="13"/>
        <item x="22"/>
        <item x="26"/>
        <item x="36"/>
        <item x="11"/>
        <item x="23"/>
        <item x="9"/>
        <item x="20"/>
        <item x="12"/>
        <item x="14"/>
        <item x="18"/>
        <item x="34"/>
        <item x="2"/>
        <item x="7"/>
        <item x="31"/>
        <item x="4"/>
        <item x="32"/>
        <item x="29"/>
        <item x="28"/>
        <item x="16"/>
        <item x="19"/>
        <item t="default"/>
      </items>
    </pivotField>
    <pivotField axis="axisCol" showAll="0">
      <items count="4">
        <item x="0"/>
        <item x="2"/>
        <item x="1"/>
        <item t="default"/>
      </items>
    </pivotField>
    <pivotField dataField="1" showAll="0">
      <items count="21">
        <item x="14"/>
        <item x="8"/>
        <item x="3"/>
        <item x="9"/>
        <item x="5"/>
        <item x="13"/>
        <item x="10"/>
        <item x="6"/>
        <item x="1"/>
        <item x="7"/>
        <item x="19"/>
        <item x="16"/>
        <item x="17"/>
        <item x="4"/>
        <item x="0"/>
        <item x="15"/>
        <item x="2"/>
        <item x="11"/>
        <item x="12"/>
        <item x="18"/>
        <item t="default"/>
      </items>
    </pivotField>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4">
    <i>
      <x/>
    </i>
    <i>
      <x v="1"/>
    </i>
    <i>
      <x v="2"/>
    </i>
    <i t="grand">
      <x/>
    </i>
  </colItems>
  <pageFields count="1">
    <pageField fld="1" hier="-1"/>
  </pageFields>
  <dataFields count="1">
    <dataField name="Count of Unit_Price" fld="3" subtotal="count" baseField="0" baseItem="0"/>
  </dataFields>
  <chartFormats count="273">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7" format="123" series="1">
      <pivotArea type="data" outline="0" fieldPosition="0">
        <references count="2">
          <reference field="4294967294" count="1" selected="0">
            <x v="0"/>
          </reference>
          <reference field="2" count="1" selected="0">
            <x v="0"/>
          </reference>
        </references>
      </pivotArea>
    </chartFormat>
    <chartFormat chart="7" format="124">
      <pivotArea type="data" outline="0" fieldPosition="0">
        <references count="3">
          <reference field="4294967294" count="1" selected="0">
            <x v="0"/>
          </reference>
          <reference field="0" count="1" selected="0">
            <x v="0"/>
          </reference>
          <reference field="2" count="1" selected="0">
            <x v="0"/>
          </reference>
        </references>
      </pivotArea>
    </chartFormat>
    <chartFormat chart="7" format="125">
      <pivotArea type="data" outline="0" fieldPosition="0">
        <references count="3">
          <reference field="4294967294" count="1" selected="0">
            <x v="0"/>
          </reference>
          <reference field="0" count="1" selected="0">
            <x v="1"/>
          </reference>
          <reference field="2" count="1" selected="0">
            <x v="0"/>
          </reference>
        </references>
      </pivotArea>
    </chartFormat>
    <chartFormat chart="7" format="126">
      <pivotArea type="data" outline="0" fieldPosition="0">
        <references count="3">
          <reference field="4294967294" count="1" selected="0">
            <x v="0"/>
          </reference>
          <reference field="0" count="1" selected="0">
            <x v="2"/>
          </reference>
          <reference field="2" count="1" selected="0">
            <x v="0"/>
          </reference>
        </references>
      </pivotArea>
    </chartFormat>
    <chartFormat chart="7" format="127">
      <pivotArea type="data" outline="0" fieldPosition="0">
        <references count="3">
          <reference field="4294967294" count="1" selected="0">
            <x v="0"/>
          </reference>
          <reference field="0" count="1" selected="0">
            <x v="3"/>
          </reference>
          <reference field="2" count="1" selected="0">
            <x v="0"/>
          </reference>
        </references>
      </pivotArea>
    </chartFormat>
    <chartFormat chart="7" format="128">
      <pivotArea type="data" outline="0" fieldPosition="0">
        <references count="3">
          <reference field="4294967294" count="1" selected="0">
            <x v="0"/>
          </reference>
          <reference field="0" count="1" selected="0">
            <x v="4"/>
          </reference>
          <reference field="2" count="1" selected="0">
            <x v="0"/>
          </reference>
        </references>
      </pivotArea>
    </chartFormat>
    <chartFormat chart="7" format="129">
      <pivotArea type="data" outline="0" fieldPosition="0">
        <references count="3">
          <reference field="4294967294" count="1" selected="0">
            <x v="0"/>
          </reference>
          <reference field="0" count="1" selected="0">
            <x v="5"/>
          </reference>
          <reference field="2" count="1" selected="0">
            <x v="0"/>
          </reference>
        </references>
      </pivotArea>
    </chartFormat>
    <chartFormat chart="7" format="130">
      <pivotArea type="data" outline="0" fieldPosition="0">
        <references count="3">
          <reference field="4294967294" count="1" selected="0">
            <x v="0"/>
          </reference>
          <reference field="0" count="1" selected="0">
            <x v="6"/>
          </reference>
          <reference field="2" count="1" selected="0">
            <x v="0"/>
          </reference>
        </references>
      </pivotArea>
    </chartFormat>
    <chartFormat chart="7" format="131">
      <pivotArea type="data" outline="0" fieldPosition="0">
        <references count="3">
          <reference field="4294967294" count="1" selected="0">
            <x v="0"/>
          </reference>
          <reference field="0" count="1" selected="0">
            <x v="7"/>
          </reference>
          <reference field="2" count="1" selected="0">
            <x v="0"/>
          </reference>
        </references>
      </pivotArea>
    </chartFormat>
    <chartFormat chart="7" format="132">
      <pivotArea type="data" outline="0" fieldPosition="0">
        <references count="3">
          <reference field="4294967294" count="1" selected="0">
            <x v="0"/>
          </reference>
          <reference field="0" count="1" selected="0">
            <x v="8"/>
          </reference>
          <reference field="2" count="1" selected="0">
            <x v="0"/>
          </reference>
        </references>
      </pivotArea>
    </chartFormat>
    <chartFormat chart="7" format="133">
      <pivotArea type="data" outline="0" fieldPosition="0">
        <references count="3">
          <reference field="4294967294" count="1" selected="0">
            <x v="0"/>
          </reference>
          <reference field="0" count="1" selected="0">
            <x v="9"/>
          </reference>
          <reference field="2" count="1" selected="0">
            <x v="0"/>
          </reference>
        </references>
      </pivotArea>
    </chartFormat>
    <chartFormat chart="7" format="134">
      <pivotArea type="data" outline="0" fieldPosition="0">
        <references count="3">
          <reference field="4294967294" count="1" selected="0">
            <x v="0"/>
          </reference>
          <reference field="0" count="1" selected="0">
            <x v="10"/>
          </reference>
          <reference field="2" count="1" selected="0">
            <x v="0"/>
          </reference>
        </references>
      </pivotArea>
    </chartFormat>
    <chartFormat chart="7" format="135">
      <pivotArea type="data" outline="0" fieldPosition="0">
        <references count="3">
          <reference field="4294967294" count="1" selected="0">
            <x v="0"/>
          </reference>
          <reference field="0" count="1" selected="0">
            <x v="11"/>
          </reference>
          <reference field="2" count="1" selected="0">
            <x v="0"/>
          </reference>
        </references>
      </pivotArea>
    </chartFormat>
    <chartFormat chart="7" format="136">
      <pivotArea type="data" outline="0" fieldPosition="0">
        <references count="3">
          <reference field="4294967294" count="1" selected="0">
            <x v="0"/>
          </reference>
          <reference field="0" count="1" selected="0">
            <x v="12"/>
          </reference>
          <reference field="2" count="1" selected="0">
            <x v="0"/>
          </reference>
        </references>
      </pivotArea>
    </chartFormat>
    <chartFormat chart="7" format="137">
      <pivotArea type="data" outline="0" fieldPosition="0">
        <references count="3">
          <reference field="4294967294" count="1" selected="0">
            <x v="0"/>
          </reference>
          <reference field="0" count="1" selected="0">
            <x v="13"/>
          </reference>
          <reference field="2" count="1" selected="0">
            <x v="0"/>
          </reference>
        </references>
      </pivotArea>
    </chartFormat>
    <chartFormat chart="7" format="138">
      <pivotArea type="data" outline="0" fieldPosition="0">
        <references count="3">
          <reference field="4294967294" count="1" selected="0">
            <x v="0"/>
          </reference>
          <reference field="0" count="1" selected="0">
            <x v="14"/>
          </reference>
          <reference field="2" count="1" selected="0">
            <x v="0"/>
          </reference>
        </references>
      </pivotArea>
    </chartFormat>
    <chartFormat chart="7" format="139">
      <pivotArea type="data" outline="0" fieldPosition="0">
        <references count="3">
          <reference field="4294967294" count="1" selected="0">
            <x v="0"/>
          </reference>
          <reference field="0" count="1" selected="0">
            <x v="15"/>
          </reference>
          <reference field="2" count="1" selected="0">
            <x v="0"/>
          </reference>
        </references>
      </pivotArea>
    </chartFormat>
    <chartFormat chart="7" format="140">
      <pivotArea type="data" outline="0" fieldPosition="0">
        <references count="3">
          <reference field="4294967294" count="1" selected="0">
            <x v="0"/>
          </reference>
          <reference field="0" count="1" selected="0">
            <x v="16"/>
          </reference>
          <reference field="2" count="1" selected="0">
            <x v="0"/>
          </reference>
        </references>
      </pivotArea>
    </chartFormat>
    <chartFormat chart="7" format="141">
      <pivotArea type="data" outline="0" fieldPosition="0">
        <references count="3">
          <reference field="4294967294" count="1" selected="0">
            <x v="0"/>
          </reference>
          <reference field="0" count="1" selected="0">
            <x v="17"/>
          </reference>
          <reference field="2" count="1" selected="0">
            <x v="0"/>
          </reference>
        </references>
      </pivotArea>
    </chartFormat>
    <chartFormat chart="7" format="142">
      <pivotArea type="data" outline="0" fieldPosition="0">
        <references count="3">
          <reference field="4294967294" count="1" selected="0">
            <x v="0"/>
          </reference>
          <reference field="0" count="1" selected="0">
            <x v="18"/>
          </reference>
          <reference field="2" count="1" selected="0">
            <x v="0"/>
          </reference>
        </references>
      </pivotArea>
    </chartFormat>
    <chartFormat chart="7" format="143">
      <pivotArea type="data" outline="0" fieldPosition="0">
        <references count="3">
          <reference field="4294967294" count="1" selected="0">
            <x v="0"/>
          </reference>
          <reference field="0" count="1" selected="0">
            <x v="19"/>
          </reference>
          <reference field="2" count="1" selected="0">
            <x v="0"/>
          </reference>
        </references>
      </pivotArea>
    </chartFormat>
    <chartFormat chart="7" format="144">
      <pivotArea type="data" outline="0" fieldPosition="0">
        <references count="3">
          <reference field="4294967294" count="1" selected="0">
            <x v="0"/>
          </reference>
          <reference field="0" count="1" selected="0">
            <x v="20"/>
          </reference>
          <reference field="2" count="1" selected="0">
            <x v="0"/>
          </reference>
        </references>
      </pivotArea>
    </chartFormat>
    <chartFormat chart="7" format="145">
      <pivotArea type="data" outline="0" fieldPosition="0">
        <references count="3">
          <reference field="4294967294" count="1" selected="0">
            <x v="0"/>
          </reference>
          <reference field="0" count="1" selected="0">
            <x v="21"/>
          </reference>
          <reference field="2" count="1" selected="0">
            <x v="0"/>
          </reference>
        </references>
      </pivotArea>
    </chartFormat>
    <chartFormat chart="7" format="146">
      <pivotArea type="data" outline="0" fieldPosition="0">
        <references count="3">
          <reference field="4294967294" count="1" selected="0">
            <x v="0"/>
          </reference>
          <reference field="0" count="1" selected="0">
            <x v="22"/>
          </reference>
          <reference field="2" count="1" selected="0">
            <x v="0"/>
          </reference>
        </references>
      </pivotArea>
    </chartFormat>
    <chartFormat chart="7" format="147">
      <pivotArea type="data" outline="0" fieldPosition="0">
        <references count="3">
          <reference field="4294967294" count="1" selected="0">
            <x v="0"/>
          </reference>
          <reference field="0" count="1" selected="0">
            <x v="23"/>
          </reference>
          <reference field="2" count="1" selected="0">
            <x v="0"/>
          </reference>
        </references>
      </pivotArea>
    </chartFormat>
    <chartFormat chart="7" format="148">
      <pivotArea type="data" outline="0" fieldPosition="0">
        <references count="3">
          <reference field="4294967294" count="1" selected="0">
            <x v="0"/>
          </reference>
          <reference field="0" count="1" selected="0">
            <x v="24"/>
          </reference>
          <reference field="2" count="1" selected="0">
            <x v="0"/>
          </reference>
        </references>
      </pivotArea>
    </chartFormat>
    <chartFormat chart="7" format="149">
      <pivotArea type="data" outline="0" fieldPosition="0">
        <references count="3">
          <reference field="4294967294" count="1" selected="0">
            <x v="0"/>
          </reference>
          <reference field="0" count="1" selected="0">
            <x v="25"/>
          </reference>
          <reference field="2" count="1" selected="0">
            <x v="0"/>
          </reference>
        </references>
      </pivotArea>
    </chartFormat>
    <chartFormat chart="7" format="150">
      <pivotArea type="data" outline="0" fieldPosition="0">
        <references count="3">
          <reference field="4294967294" count="1" selected="0">
            <x v="0"/>
          </reference>
          <reference field="0" count="1" selected="0">
            <x v="26"/>
          </reference>
          <reference field="2" count="1" selected="0">
            <x v="0"/>
          </reference>
        </references>
      </pivotArea>
    </chartFormat>
    <chartFormat chart="7" format="151">
      <pivotArea type="data" outline="0" fieldPosition="0">
        <references count="3">
          <reference field="4294967294" count="1" selected="0">
            <x v="0"/>
          </reference>
          <reference field="0" count="1" selected="0">
            <x v="27"/>
          </reference>
          <reference field="2" count="1" selected="0">
            <x v="0"/>
          </reference>
        </references>
      </pivotArea>
    </chartFormat>
    <chartFormat chart="7" format="152">
      <pivotArea type="data" outline="0" fieldPosition="0">
        <references count="3">
          <reference field="4294967294" count="1" selected="0">
            <x v="0"/>
          </reference>
          <reference field="0" count="1" selected="0">
            <x v="28"/>
          </reference>
          <reference field="2" count="1" selected="0">
            <x v="0"/>
          </reference>
        </references>
      </pivotArea>
    </chartFormat>
    <chartFormat chart="7" format="153">
      <pivotArea type="data" outline="0" fieldPosition="0">
        <references count="3">
          <reference field="4294967294" count="1" selected="0">
            <x v="0"/>
          </reference>
          <reference field="0" count="1" selected="0">
            <x v="29"/>
          </reference>
          <reference field="2" count="1" selected="0">
            <x v="0"/>
          </reference>
        </references>
      </pivotArea>
    </chartFormat>
    <chartFormat chart="7" format="154">
      <pivotArea type="data" outline="0" fieldPosition="0">
        <references count="3">
          <reference field="4294967294" count="1" selected="0">
            <x v="0"/>
          </reference>
          <reference field="0" count="1" selected="0">
            <x v="30"/>
          </reference>
          <reference field="2" count="1" selected="0">
            <x v="0"/>
          </reference>
        </references>
      </pivotArea>
    </chartFormat>
    <chartFormat chart="7" format="155">
      <pivotArea type="data" outline="0" fieldPosition="0">
        <references count="3">
          <reference field="4294967294" count="1" selected="0">
            <x v="0"/>
          </reference>
          <reference field="0" count="1" selected="0">
            <x v="31"/>
          </reference>
          <reference field="2" count="1" selected="0">
            <x v="0"/>
          </reference>
        </references>
      </pivotArea>
    </chartFormat>
    <chartFormat chart="7" format="156">
      <pivotArea type="data" outline="0" fieldPosition="0">
        <references count="3">
          <reference field="4294967294" count="1" selected="0">
            <x v="0"/>
          </reference>
          <reference field="0" count="1" selected="0">
            <x v="32"/>
          </reference>
          <reference field="2" count="1" selected="0">
            <x v="0"/>
          </reference>
        </references>
      </pivotArea>
    </chartFormat>
    <chartFormat chart="7" format="157">
      <pivotArea type="data" outline="0" fieldPosition="0">
        <references count="3">
          <reference field="4294967294" count="1" selected="0">
            <x v="0"/>
          </reference>
          <reference field="0" count="1" selected="0">
            <x v="33"/>
          </reference>
          <reference field="2" count="1" selected="0">
            <x v="0"/>
          </reference>
        </references>
      </pivotArea>
    </chartFormat>
    <chartFormat chart="7" format="158">
      <pivotArea type="data" outline="0" fieldPosition="0">
        <references count="3">
          <reference field="4294967294" count="1" selected="0">
            <x v="0"/>
          </reference>
          <reference field="0" count="1" selected="0">
            <x v="34"/>
          </reference>
          <reference field="2" count="1" selected="0">
            <x v="0"/>
          </reference>
        </references>
      </pivotArea>
    </chartFormat>
    <chartFormat chart="7" format="159">
      <pivotArea type="data" outline="0" fieldPosition="0">
        <references count="3">
          <reference field="4294967294" count="1" selected="0">
            <x v="0"/>
          </reference>
          <reference field="0" count="1" selected="0">
            <x v="35"/>
          </reference>
          <reference field="2" count="1" selected="0">
            <x v="0"/>
          </reference>
        </references>
      </pivotArea>
    </chartFormat>
    <chartFormat chart="7" format="160">
      <pivotArea type="data" outline="0" fieldPosition="0">
        <references count="3">
          <reference field="4294967294" count="1" selected="0">
            <x v="0"/>
          </reference>
          <reference field="0" count="1" selected="0">
            <x v="36"/>
          </reference>
          <reference field="2" count="1" selected="0">
            <x v="0"/>
          </reference>
        </references>
      </pivotArea>
    </chartFormat>
    <chartFormat chart="7" format="161">
      <pivotArea type="data" outline="0" fieldPosition="0">
        <references count="3">
          <reference field="4294967294" count="1" selected="0">
            <x v="0"/>
          </reference>
          <reference field="0" count="1" selected="0">
            <x v="37"/>
          </reference>
          <reference field="2" count="1" selected="0">
            <x v="0"/>
          </reference>
        </references>
      </pivotArea>
    </chartFormat>
    <chartFormat chart="7" format="162">
      <pivotArea type="data" outline="0" fieldPosition="0">
        <references count="3">
          <reference field="4294967294" count="1" selected="0">
            <x v="0"/>
          </reference>
          <reference field="0" count="1" selected="0">
            <x v="38"/>
          </reference>
          <reference field="2" count="1" selected="0">
            <x v="0"/>
          </reference>
        </references>
      </pivotArea>
    </chartFormat>
    <chartFormat chart="7" format="163" series="1">
      <pivotArea type="data" outline="0" fieldPosition="0">
        <references count="2">
          <reference field="4294967294" count="1" selected="0">
            <x v="0"/>
          </reference>
          <reference field="2" count="1" selected="0">
            <x v="1"/>
          </reference>
        </references>
      </pivotArea>
    </chartFormat>
    <chartFormat chart="7" format="164">
      <pivotArea type="data" outline="0" fieldPosition="0">
        <references count="3">
          <reference field="4294967294" count="1" selected="0">
            <x v="0"/>
          </reference>
          <reference field="0" count="1" selected="0">
            <x v="0"/>
          </reference>
          <reference field="2" count="1" selected="0">
            <x v="1"/>
          </reference>
        </references>
      </pivotArea>
    </chartFormat>
    <chartFormat chart="7" format="165">
      <pivotArea type="data" outline="0" fieldPosition="0">
        <references count="3">
          <reference field="4294967294" count="1" selected="0">
            <x v="0"/>
          </reference>
          <reference field="0" count="1" selected="0">
            <x v="1"/>
          </reference>
          <reference field="2" count="1" selected="0">
            <x v="1"/>
          </reference>
        </references>
      </pivotArea>
    </chartFormat>
    <chartFormat chart="7" format="166">
      <pivotArea type="data" outline="0" fieldPosition="0">
        <references count="3">
          <reference field="4294967294" count="1" selected="0">
            <x v="0"/>
          </reference>
          <reference field="0" count="1" selected="0">
            <x v="2"/>
          </reference>
          <reference field="2" count="1" selected="0">
            <x v="1"/>
          </reference>
        </references>
      </pivotArea>
    </chartFormat>
    <chartFormat chart="7" format="167">
      <pivotArea type="data" outline="0" fieldPosition="0">
        <references count="3">
          <reference field="4294967294" count="1" selected="0">
            <x v="0"/>
          </reference>
          <reference field="0" count="1" selected="0">
            <x v="3"/>
          </reference>
          <reference field="2" count="1" selected="0">
            <x v="1"/>
          </reference>
        </references>
      </pivotArea>
    </chartFormat>
    <chartFormat chart="7" format="168">
      <pivotArea type="data" outline="0" fieldPosition="0">
        <references count="3">
          <reference field="4294967294" count="1" selected="0">
            <x v="0"/>
          </reference>
          <reference field="0" count="1" selected="0">
            <x v="4"/>
          </reference>
          <reference field="2" count="1" selected="0">
            <x v="1"/>
          </reference>
        </references>
      </pivotArea>
    </chartFormat>
    <chartFormat chart="7" format="169">
      <pivotArea type="data" outline="0" fieldPosition="0">
        <references count="3">
          <reference field="4294967294" count="1" selected="0">
            <x v="0"/>
          </reference>
          <reference field="0" count="1" selected="0">
            <x v="5"/>
          </reference>
          <reference field="2" count="1" selected="0">
            <x v="1"/>
          </reference>
        </references>
      </pivotArea>
    </chartFormat>
    <chartFormat chart="7" format="170">
      <pivotArea type="data" outline="0" fieldPosition="0">
        <references count="3">
          <reference field="4294967294" count="1" selected="0">
            <x v="0"/>
          </reference>
          <reference field="0" count="1" selected="0">
            <x v="6"/>
          </reference>
          <reference field="2" count="1" selected="0">
            <x v="1"/>
          </reference>
        </references>
      </pivotArea>
    </chartFormat>
    <chartFormat chart="7" format="171">
      <pivotArea type="data" outline="0" fieldPosition="0">
        <references count="3">
          <reference field="4294967294" count="1" selected="0">
            <x v="0"/>
          </reference>
          <reference field="0" count="1" selected="0">
            <x v="7"/>
          </reference>
          <reference field="2" count="1" selected="0">
            <x v="1"/>
          </reference>
        </references>
      </pivotArea>
    </chartFormat>
    <chartFormat chart="7" format="172">
      <pivotArea type="data" outline="0" fieldPosition="0">
        <references count="3">
          <reference field="4294967294" count="1" selected="0">
            <x v="0"/>
          </reference>
          <reference field="0" count="1" selected="0">
            <x v="8"/>
          </reference>
          <reference field="2" count="1" selected="0">
            <x v="1"/>
          </reference>
        </references>
      </pivotArea>
    </chartFormat>
    <chartFormat chart="7" format="173">
      <pivotArea type="data" outline="0" fieldPosition="0">
        <references count="3">
          <reference field="4294967294" count="1" selected="0">
            <x v="0"/>
          </reference>
          <reference field="0" count="1" selected="0">
            <x v="9"/>
          </reference>
          <reference field="2" count="1" selected="0">
            <x v="1"/>
          </reference>
        </references>
      </pivotArea>
    </chartFormat>
    <chartFormat chart="7" format="174">
      <pivotArea type="data" outline="0" fieldPosition="0">
        <references count="3">
          <reference field="4294967294" count="1" selected="0">
            <x v="0"/>
          </reference>
          <reference field="0" count="1" selected="0">
            <x v="10"/>
          </reference>
          <reference field="2" count="1" selected="0">
            <x v="1"/>
          </reference>
        </references>
      </pivotArea>
    </chartFormat>
    <chartFormat chart="7" format="175">
      <pivotArea type="data" outline="0" fieldPosition="0">
        <references count="3">
          <reference field="4294967294" count="1" selected="0">
            <x v="0"/>
          </reference>
          <reference field="0" count="1" selected="0">
            <x v="11"/>
          </reference>
          <reference field="2" count="1" selected="0">
            <x v="1"/>
          </reference>
        </references>
      </pivotArea>
    </chartFormat>
    <chartFormat chart="7" format="176">
      <pivotArea type="data" outline="0" fieldPosition="0">
        <references count="3">
          <reference field="4294967294" count="1" selected="0">
            <x v="0"/>
          </reference>
          <reference field="0" count="1" selected="0">
            <x v="12"/>
          </reference>
          <reference field="2" count="1" selected="0">
            <x v="1"/>
          </reference>
        </references>
      </pivotArea>
    </chartFormat>
    <chartFormat chart="7" format="177">
      <pivotArea type="data" outline="0" fieldPosition="0">
        <references count="3">
          <reference field="4294967294" count="1" selected="0">
            <x v="0"/>
          </reference>
          <reference field="0" count="1" selected="0">
            <x v="13"/>
          </reference>
          <reference field="2" count="1" selected="0">
            <x v="1"/>
          </reference>
        </references>
      </pivotArea>
    </chartFormat>
    <chartFormat chart="7" format="178">
      <pivotArea type="data" outline="0" fieldPosition="0">
        <references count="3">
          <reference field="4294967294" count="1" selected="0">
            <x v="0"/>
          </reference>
          <reference field="0" count="1" selected="0">
            <x v="14"/>
          </reference>
          <reference field="2" count="1" selected="0">
            <x v="1"/>
          </reference>
        </references>
      </pivotArea>
    </chartFormat>
    <chartFormat chart="7" format="179">
      <pivotArea type="data" outline="0" fieldPosition="0">
        <references count="3">
          <reference field="4294967294" count="1" selected="0">
            <x v="0"/>
          </reference>
          <reference field="0" count="1" selected="0">
            <x v="15"/>
          </reference>
          <reference field="2" count="1" selected="0">
            <x v="1"/>
          </reference>
        </references>
      </pivotArea>
    </chartFormat>
    <chartFormat chart="7" format="180">
      <pivotArea type="data" outline="0" fieldPosition="0">
        <references count="3">
          <reference field="4294967294" count="1" selected="0">
            <x v="0"/>
          </reference>
          <reference field="0" count="1" selected="0">
            <x v="16"/>
          </reference>
          <reference field="2" count="1" selected="0">
            <x v="1"/>
          </reference>
        </references>
      </pivotArea>
    </chartFormat>
    <chartFormat chart="7" format="181">
      <pivotArea type="data" outline="0" fieldPosition="0">
        <references count="3">
          <reference field="4294967294" count="1" selected="0">
            <x v="0"/>
          </reference>
          <reference field="0" count="1" selected="0">
            <x v="17"/>
          </reference>
          <reference field="2" count="1" selected="0">
            <x v="1"/>
          </reference>
        </references>
      </pivotArea>
    </chartFormat>
    <chartFormat chart="7" format="182">
      <pivotArea type="data" outline="0" fieldPosition="0">
        <references count="3">
          <reference field="4294967294" count="1" selected="0">
            <x v="0"/>
          </reference>
          <reference field="0" count="1" selected="0">
            <x v="18"/>
          </reference>
          <reference field="2" count="1" selected="0">
            <x v="1"/>
          </reference>
        </references>
      </pivotArea>
    </chartFormat>
    <chartFormat chart="7" format="183">
      <pivotArea type="data" outline="0" fieldPosition="0">
        <references count="3">
          <reference field="4294967294" count="1" selected="0">
            <x v="0"/>
          </reference>
          <reference field="0" count="1" selected="0">
            <x v="19"/>
          </reference>
          <reference field="2" count="1" selected="0">
            <x v="1"/>
          </reference>
        </references>
      </pivotArea>
    </chartFormat>
    <chartFormat chart="7" format="184">
      <pivotArea type="data" outline="0" fieldPosition="0">
        <references count="3">
          <reference field="4294967294" count="1" selected="0">
            <x v="0"/>
          </reference>
          <reference field="0" count="1" selected="0">
            <x v="20"/>
          </reference>
          <reference field="2" count="1" selected="0">
            <x v="1"/>
          </reference>
        </references>
      </pivotArea>
    </chartFormat>
    <chartFormat chart="7" format="185">
      <pivotArea type="data" outline="0" fieldPosition="0">
        <references count="3">
          <reference field="4294967294" count="1" selected="0">
            <x v="0"/>
          </reference>
          <reference field="0" count="1" selected="0">
            <x v="21"/>
          </reference>
          <reference field="2" count="1" selected="0">
            <x v="1"/>
          </reference>
        </references>
      </pivotArea>
    </chartFormat>
    <chartFormat chart="7" format="186">
      <pivotArea type="data" outline="0" fieldPosition="0">
        <references count="3">
          <reference field="4294967294" count="1" selected="0">
            <x v="0"/>
          </reference>
          <reference field="0" count="1" selected="0">
            <x v="22"/>
          </reference>
          <reference field="2" count="1" selected="0">
            <x v="1"/>
          </reference>
        </references>
      </pivotArea>
    </chartFormat>
    <chartFormat chart="7" format="187">
      <pivotArea type="data" outline="0" fieldPosition="0">
        <references count="3">
          <reference field="4294967294" count="1" selected="0">
            <x v="0"/>
          </reference>
          <reference field="0" count="1" selected="0">
            <x v="23"/>
          </reference>
          <reference field="2" count="1" selected="0">
            <x v="1"/>
          </reference>
        </references>
      </pivotArea>
    </chartFormat>
    <chartFormat chart="7" format="188">
      <pivotArea type="data" outline="0" fieldPosition="0">
        <references count="3">
          <reference field="4294967294" count="1" selected="0">
            <x v="0"/>
          </reference>
          <reference field="0" count="1" selected="0">
            <x v="24"/>
          </reference>
          <reference field="2" count="1" selected="0">
            <x v="1"/>
          </reference>
        </references>
      </pivotArea>
    </chartFormat>
    <chartFormat chart="7" format="189">
      <pivotArea type="data" outline="0" fieldPosition="0">
        <references count="3">
          <reference field="4294967294" count="1" selected="0">
            <x v="0"/>
          </reference>
          <reference field="0" count="1" selected="0">
            <x v="25"/>
          </reference>
          <reference field="2" count="1" selected="0">
            <x v="1"/>
          </reference>
        </references>
      </pivotArea>
    </chartFormat>
    <chartFormat chart="7" format="190">
      <pivotArea type="data" outline="0" fieldPosition="0">
        <references count="3">
          <reference field="4294967294" count="1" selected="0">
            <x v="0"/>
          </reference>
          <reference field="0" count="1" selected="0">
            <x v="26"/>
          </reference>
          <reference field="2" count="1" selected="0">
            <x v="1"/>
          </reference>
        </references>
      </pivotArea>
    </chartFormat>
    <chartFormat chart="7" format="191">
      <pivotArea type="data" outline="0" fieldPosition="0">
        <references count="3">
          <reference field="4294967294" count="1" selected="0">
            <x v="0"/>
          </reference>
          <reference field="0" count="1" selected="0">
            <x v="27"/>
          </reference>
          <reference field="2" count="1" selected="0">
            <x v="1"/>
          </reference>
        </references>
      </pivotArea>
    </chartFormat>
    <chartFormat chart="7" format="192">
      <pivotArea type="data" outline="0" fieldPosition="0">
        <references count="3">
          <reference field="4294967294" count="1" selected="0">
            <x v="0"/>
          </reference>
          <reference field="0" count="1" selected="0">
            <x v="28"/>
          </reference>
          <reference field="2" count="1" selected="0">
            <x v="1"/>
          </reference>
        </references>
      </pivotArea>
    </chartFormat>
    <chartFormat chart="7" format="193">
      <pivotArea type="data" outline="0" fieldPosition="0">
        <references count="3">
          <reference field="4294967294" count="1" selected="0">
            <x v="0"/>
          </reference>
          <reference field="0" count="1" selected="0">
            <x v="29"/>
          </reference>
          <reference field="2" count="1" selected="0">
            <x v="1"/>
          </reference>
        </references>
      </pivotArea>
    </chartFormat>
    <chartFormat chart="7" format="194">
      <pivotArea type="data" outline="0" fieldPosition="0">
        <references count="3">
          <reference field="4294967294" count="1" selected="0">
            <x v="0"/>
          </reference>
          <reference field="0" count="1" selected="0">
            <x v="30"/>
          </reference>
          <reference field="2" count="1" selected="0">
            <x v="1"/>
          </reference>
        </references>
      </pivotArea>
    </chartFormat>
    <chartFormat chart="7" format="195">
      <pivotArea type="data" outline="0" fieldPosition="0">
        <references count="3">
          <reference field="4294967294" count="1" selected="0">
            <x v="0"/>
          </reference>
          <reference field="0" count="1" selected="0">
            <x v="31"/>
          </reference>
          <reference field="2" count="1" selected="0">
            <x v="1"/>
          </reference>
        </references>
      </pivotArea>
    </chartFormat>
    <chartFormat chart="7" format="196">
      <pivotArea type="data" outline="0" fieldPosition="0">
        <references count="3">
          <reference field="4294967294" count="1" selected="0">
            <x v="0"/>
          </reference>
          <reference field="0" count="1" selected="0">
            <x v="32"/>
          </reference>
          <reference field="2" count="1" selected="0">
            <x v="1"/>
          </reference>
        </references>
      </pivotArea>
    </chartFormat>
    <chartFormat chart="7" format="197">
      <pivotArea type="data" outline="0" fieldPosition="0">
        <references count="3">
          <reference field="4294967294" count="1" selected="0">
            <x v="0"/>
          </reference>
          <reference field="0" count="1" selected="0">
            <x v="33"/>
          </reference>
          <reference field="2" count="1" selected="0">
            <x v="1"/>
          </reference>
        </references>
      </pivotArea>
    </chartFormat>
    <chartFormat chart="7" format="198">
      <pivotArea type="data" outline="0" fieldPosition="0">
        <references count="3">
          <reference field="4294967294" count="1" selected="0">
            <x v="0"/>
          </reference>
          <reference field="0" count="1" selected="0">
            <x v="34"/>
          </reference>
          <reference field="2" count="1" selected="0">
            <x v="1"/>
          </reference>
        </references>
      </pivotArea>
    </chartFormat>
    <chartFormat chart="7" format="199">
      <pivotArea type="data" outline="0" fieldPosition="0">
        <references count="3">
          <reference field="4294967294" count="1" selected="0">
            <x v="0"/>
          </reference>
          <reference field="0" count="1" selected="0">
            <x v="35"/>
          </reference>
          <reference field="2" count="1" selected="0">
            <x v="1"/>
          </reference>
        </references>
      </pivotArea>
    </chartFormat>
    <chartFormat chart="7" format="200">
      <pivotArea type="data" outline="0" fieldPosition="0">
        <references count="3">
          <reference field="4294967294" count="1" selected="0">
            <x v="0"/>
          </reference>
          <reference field="0" count="1" selected="0">
            <x v="36"/>
          </reference>
          <reference field="2" count="1" selected="0">
            <x v="1"/>
          </reference>
        </references>
      </pivotArea>
    </chartFormat>
    <chartFormat chart="7" format="201">
      <pivotArea type="data" outline="0" fieldPosition="0">
        <references count="3">
          <reference field="4294967294" count="1" selected="0">
            <x v="0"/>
          </reference>
          <reference field="0" count="1" selected="0">
            <x v="37"/>
          </reference>
          <reference field="2" count="1" selected="0">
            <x v="1"/>
          </reference>
        </references>
      </pivotArea>
    </chartFormat>
    <chartFormat chart="7" format="202">
      <pivotArea type="data" outline="0" fieldPosition="0">
        <references count="3">
          <reference field="4294967294" count="1" selected="0">
            <x v="0"/>
          </reference>
          <reference field="0" count="1" selected="0">
            <x v="38"/>
          </reference>
          <reference field="2" count="1" selected="0">
            <x v="1"/>
          </reference>
        </references>
      </pivotArea>
    </chartFormat>
    <chartFormat chart="7" format="203" series="1">
      <pivotArea type="data" outline="0" fieldPosition="0">
        <references count="2">
          <reference field="4294967294" count="1" selected="0">
            <x v="0"/>
          </reference>
          <reference field="2" count="1" selected="0">
            <x v="2"/>
          </reference>
        </references>
      </pivotArea>
    </chartFormat>
    <chartFormat chart="7" format="204">
      <pivotArea type="data" outline="0" fieldPosition="0">
        <references count="3">
          <reference field="4294967294" count="1" selected="0">
            <x v="0"/>
          </reference>
          <reference field="0" count="1" selected="0">
            <x v="0"/>
          </reference>
          <reference field="2" count="1" selected="0">
            <x v="2"/>
          </reference>
        </references>
      </pivotArea>
    </chartFormat>
    <chartFormat chart="7" format="205">
      <pivotArea type="data" outline="0" fieldPosition="0">
        <references count="3">
          <reference field="4294967294" count="1" selected="0">
            <x v="0"/>
          </reference>
          <reference field="0" count="1" selected="0">
            <x v="1"/>
          </reference>
          <reference field="2" count="1" selected="0">
            <x v="2"/>
          </reference>
        </references>
      </pivotArea>
    </chartFormat>
    <chartFormat chart="7" format="206">
      <pivotArea type="data" outline="0" fieldPosition="0">
        <references count="3">
          <reference field="4294967294" count="1" selected="0">
            <x v="0"/>
          </reference>
          <reference field="0" count="1" selected="0">
            <x v="2"/>
          </reference>
          <reference field="2" count="1" selected="0">
            <x v="2"/>
          </reference>
        </references>
      </pivotArea>
    </chartFormat>
    <chartFormat chart="7" format="207">
      <pivotArea type="data" outline="0" fieldPosition="0">
        <references count="3">
          <reference field="4294967294" count="1" selected="0">
            <x v="0"/>
          </reference>
          <reference field="0" count="1" selected="0">
            <x v="3"/>
          </reference>
          <reference field="2" count="1" selected="0">
            <x v="2"/>
          </reference>
        </references>
      </pivotArea>
    </chartFormat>
    <chartFormat chart="7" format="208">
      <pivotArea type="data" outline="0" fieldPosition="0">
        <references count="3">
          <reference field="4294967294" count="1" selected="0">
            <x v="0"/>
          </reference>
          <reference field="0" count="1" selected="0">
            <x v="4"/>
          </reference>
          <reference field="2" count="1" selected="0">
            <x v="2"/>
          </reference>
        </references>
      </pivotArea>
    </chartFormat>
    <chartFormat chart="7" format="209">
      <pivotArea type="data" outline="0" fieldPosition="0">
        <references count="3">
          <reference field="4294967294" count="1" selected="0">
            <x v="0"/>
          </reference>
          <reference field="0" count="1" selected="0">
            <x v="5"/>
          </reference>
          <reference field="2" count="1" selected="0">
            <x v="2"/>
          </reference>
        </references>
      </pivotArea>
    </chartFormat>
    <chartFormat chart="7" format="210">
      <pivotArea type="data" outline="0" fieldPosition="0">
        <references count="3">
          <reference field="4294967294" count="1" selected="0">
            <x v="0"/>
          </reference>
          <reference field="0" count="1" selected="0">
            <x v="6"/>
          </reference>
          <reference field="2" count="1" selected="0">
            <x v="2"/>
          </reference>
        </references>
      </pivotArea>
    </chartFormat>
    <chartFormat chart="7" format="211">
      <pivotArea type="data" outline="0" fieldPosition="0">
        <references count="3">
          <reference field="4294967294" count="1" selected="0">
            <x v="0"/>
          </reference>
          <reference field="0" count="1" selected="0">
            <x v="7"/>
          </reference>
          <reference field="2" count="1" selected="0">
            <x v="2"/>
          </reference>
        </references>
      </pivotArea>
    </chartFormat>
    <chartFormat chart="7" format="212">
      <pivotArea type="data" outline="0" fieldPosition="0">
        <references count="3">
          <reference field="4294967294" count="1" selected="0">
            <x v="0"/>
          </reference>
          <reference field="0" count="1" selected="0">
            <x v="8"/>
          </reference>
          <reference field="2" count="1" selected="0">
            <x v="2"/>
          </reference>
        </references>
      </pivotArea>
    </chartFormat>
    <chartFormat chart="7" format="213">
      <pivotArea type="data" outline="0" fieldPosition="0">
        <references count="3">
          <reference field="4294967294" count="1" selected="0">
            <x v="0"/>
          </reference>
          <reference field="0" count="1" selected="0">
            <x v="9"/>
          </reference>
          <reference field="2" count="1" selected="0">
            <x v="2"/>
          </reference>
        </references>
      </pivotArea>
    </chartFormat>
    <chartFormat chart="7" format="214">
      <pivotArea type="data" outline="0" fieldPosition="0">
        <references count="3">
          <reference field="4294967294" count="1" selected="0">
            <x v="0"/>
          </reference>
          <reference field="0" count="1" selected="0">
            <x v="10"/>
          </reference>
          <reference field="2" count="1" selected="0">
            <x v="2"/>
          </reference>
        </references>
      </pivotArea>
    </chartFormat>
    <chartFormat chart="7" format="215">
      <pivotArea type="data" outline="0" fieldPosition="0">
        <references count="3">
          <reference field="4294967294" count="1" selected="0">
            <x v="0"/>
          </reference>
          <reference field="0" count="1" selected="0">
            <x v="11"/>
          </reference>
          <reference field="2" count="1" selected="0">
            <x v="2"/>
          </reference>
        </references>
      </pivotArea>
    </chartFormat>
    <chartFormat chart="7" format="216">
      <pivotArea type="data" outline="0" fieldPosition="0">
        <references count="3">
          <reference field="4294967294" count="1" selected="0">
            <x v="0"/>
          </reference>
          <reference field="0" count="1" selected="0">
            <x v="12"/>
          </reference>
          <reference field="2" count="1" selected="0">
            <x v="2"/>
          </reference>
        </references>
      </pivotArea>
    </chartFormat>
    <chartFormat chart="7" format="217">
      <pivotArea type="data" outline="0" fieldPosition="0">
        <references count="3">
          <reference field="4294967294" count="1" selected="0">
            <x v="0"/>
          </reference>
          <reference field="0" count="1" selected="0">
            <x v="13"/>
          </reference>
          <reference field="2" count="1" selected="0">
            <x v="2"/>
          </reference>
        </references>
      </pivotArea>
    </chartFormat>
    <chartFormat chart="7" format="218">
      <pivotArea type="data" outline="0" fieldPosition="0">
        <references count="3">
          <reference field="4294967294" count="1" selected="0">
            <x v="0"/>
          </reference>
          <reference field="0" count="1" selected="0">
            <x v="14"/>
          </reference>
          <reference field="2" count="1" selected="0">
            <x v="2"/>
          </reference>
        </references>
      </pivotArea>
    </chartFormat>
    <chartFormat chart="7" format="219">
      <pivotArea type="data" outline="0" fieldPosition="0">
        <references count="3">
          <reference field="4294967294" count="1" selected="0">
            <x v="0"/>
          </reference>
          <reference field="0" count="1" selected="0">
            <x v="15"/>
          </reference>
          <reference field="2" count="1" selected="0">
            <x v="2"/>
          </reference>
        </references>
      </pivotArea>
    </chartFormat>
    <chartFormat chart="7" format="220">
      <pivotArea type="data" outline="0" fieldPosition="0">
        <references count="3">
          <reference field="4294967294" count="1" selected="0">
            <x v="0"/>
          </reference>
          <reference field="0" count="1" selected="0">
            <x v="16"/>
          </reference>
          <reference field="2" count="1" selected="0">
            <x v="2"/>
          </reference>
        </references>
      </pivotArea>
    </chartFormat>
    <chartFormat chart="7" format="221">
      <pivotArea type="data" outline="0" fieldPosition="0">
        <references count="3">
          <reference field="4294967294" count="1" selected="0">
            <x v="0"/>
          </reference>
          <reference field="0" count="1" selected="0">
            <x v="17"/>
          </reference>
          <reference field="2" count="1" selected="0">
            <x v="2"/>
          </reference>
        </references>
      </pivotArea>
    </chartFormat>
    <chartFormat chart="7" format="222">
      <pivotArea type="data" outline="0" fieldPosition="0">
        <references count="3">
          <reference field="4294967294" count="1" selected="0">
            <x v="0"/>
          </reference>
          <reference field="0" count="1" selected="0">
            <x v="18"/>
          </reference>
          <reference field="2" count="1" selected="0">
            <x v="2"/>
          </reference>
        </references>
      </pivotArea>
    </chartFormat>
    <chartFormat chart="7" format="223">
      <pivotArea type="data" outline="0" fieldPosition="0">
        <references count="3">
          <reference field="4294967294" count="1" selected="0">
            <x v="0"/>
          </reference>
          <reference field="0" count="1" selected="0">
            <x v="19"/>
          </reference>
          <reference field="2" count="1" selected="0">
            <x v="2"/>
          </reference>
        </references>
      </pivotArea>
    </chartFormat>
    <chartFormat chart="7" format="224">
      <pivotArea type="data" outline="0" fieldPosition="0">
        <references count="3">
          <reference field="4294967294" count="1" selected="0">
            <x v="0"/>
          </reference>
          <reference field="0" count="1" selected="0">
            <x v="20"/>
          </reference>
          <reference field="2" count="1" selected="0">
            <x v="2"/>
          </reference>
        </references>
      </pivotArea>
    </chartFormat>
    <chartFormat chart="7" format="225">
      <pivotArea type="data" outline="0" fieldPosition="0">
        <references count="3">
          <reference field="4294967294" count="1" selected="0">
            <x v="0"/>
          </reference>
          <reference field="0" count="1" selected="0">
            <x v="21"/>
          </reference>
          <reference field="2" count="1" selected="0">
            <x v="2"/>
          </reference>
        </references>
      </pivotArea>
    </chartFormat>
    <chartFormat chart="7" format="226">
      <pivotArea type="data" outline="0" fieldPosition="0">
        <references count="3">
          <reference field="4294967294" count="1" selected="0">
            <x v="0"/>
          </reference>
          <reference field="0" count="1" selected="0">
            <x v="22"/>
          </reference>
          <reference field="2" count="1" selected="0">
            <x v="2"/>
          </reference>
        </references>
      </pivotArea>
    </chartFormat>
    <chartFormat chart="7" format="227">
      <pivotArea type="data" outline="0" fieldPosition="0">
        <references count="3">
          <reference field="4294967294" count="1" selected="0">
            <x v="0"/>
          </reference>
          <reference field="0" count="1" selected="0">
            <x v="23"/>
          </reference>
          <reference field="2" count="1" selected="0">
            <x v="2"/>
          </reference>
        </references>
      </pivotArea>
    </chartFormat>
    <chartFormat chart="7" format="228">
      <pivotArea type="data" outline="0" fieldPosition="0">
        <references count="3">
          <reference field="4294967294" count="1" selected="0">
            <x v="0"/>
          </reference>
          <reference field="0" count="1" selected="0">
            <x v="24"/>
          </reference>
          <reference field="2" count="1" selected="0">
            <x v="2"/>
          </reference>
        </references>
      </pivotArea>
    </chartFormat>
    <chartFormat chart="7" format="229">
      <pivotArea type="data" outline="0" fieldPosition="0">
        <references count="3">
          <reference field="4294967294" count="1" selected="0">
            <x v="0"/>
          </reference>
          <reference field="0" count="1" selected="0">
            <x v="25"/>
          </reference>
          <reference field="2" count="1" selected="0">
            <x v="2"/>
          </reference>
        </references>
      </pivotArea>
    </chartFormat>
    <chartFormat chart="7" format="230">
      <pivotArea type="data" outline="0" fieldPosition="0">
        <references count="3">
          <reference field="4294967294" count="1" selected="0">
            <x v="0"/>
          </reference>
          <reference field="0" count="1" selected="0">
            <x v="26"/>
          </reference>
          <reference field="2" count="1" selected="0">
            <x v="2"/>
          </reference>
        </references>
      </pivotArea>
    </chartFormat>
    <chartFormat chart="7" format="231">
      <pivotArea type="data" outline="0" fieldPosition="0">
        <references count="3">
          <reference field="4294967294" count="1" selected="0">
            <x v="0"/>
          </reference>
          <reference field="0" count="1" selected="0">
            <x v="27"/>
          </reference>
          <reference field="2" count="1" selected="0">
            <x v="2"/>
          </reference>
        </references>
      </pivotArea>
    </chartFormat>
    <chartFormat chart="7" format="232">
      <pivotArea type="data" outline="0" fieldPosition="0">
        <references count="3">
          <reference field="4294967294" count="1" selected="0">
            <x v="0"/>
          </reference>
          <reference field="0" count="1" selected="0">
            <x v="28"/>
          </reference>
          <reference field="2" count="1" selected="0">
            <x v="2"/>
          </reference>
        </references>
      </pivotArea>
    </chartFormat>
    <chartFormat chart="7" format="233">
      <pivotArea type="data" outline="0" fieldPosition="0">
        <references count="3">
          <reference field="4294967294" count="1" selected="0">
            <x v="0"/>
          </reference>
          <reference field="0" count="1" selected="0">
            <x v="29"/>
          </reference>
          <reference field="2" count="1" selected="0">
            <x v="2"/>
          </reference>
        </references>
      </pivotArea>
    </chartFormat>
    <chartFormat chart="7" format="234">
      <pivotArea type="data" outline="0" fieldPosition="0">
        <references count="3">
          <reference field="4294967294" count="1" selected="0">
            <x v="0"/>
          </reference>
          <reference field="0" count="1" selected="0">
            <x v="30"/>
          </reference>
          <reference field="2" count="1" selected="0">
            <x v="2"/>
          </reference>
        </references>
      </pivotArea>
    </chartFormat>
    <chartFormat chart="7" format="235">
      <pivotArea type="data" outline="0" fieldPosition="0">
        <references count="3">
          <reference field="4294967294" count="1" selected="0">
            <x v="0"/>
          </reference>
          <reference field="0" count="1" selected="0">
            <x v="31"/>
          </reference>
          <reference field="2" count="1" selected="0">
            <x v="2"/>
          </reference>
        </references>
      </pivotArea>
    </chartFormat>
    <chartFormat chart="7" format="236">
      <pivotArea type="data" outline="0" fieldPosition="0">
        <references count="3">
          <reference field="4294967294" count="1" selected="0">
            <x v="0"/>
          </reference>
          <reference field="0" count="1" selected="0">
            <x v="32"/>
          </reference>
          <reference field="2" count="1" selected="0">
            <x v="2"/>
          </reference>
        </references>
      </pivotArea>
    </chartFormat>
    <chartFormat chart="7" format="237">
      <pivotArea type="data" outline="0" fieldPosition="0">
        <references count="3">
          <reference field="4294967294" count="1" selected="0">
            <x v="0"/>
          </reference>
          <reference field="0" count="1" selected="0">
            <x v="33"/>
          </reference>
          <reference field="2" count="1" selected="0">
            <x v="2"/>
          </reference>
        </references>
      </pivotArea>
    </chartFormat>
    <chartFormat chart="7" format="238">
      <pivotArea type="data" outline="0" fieldPosition="0">
        <references count="3">
          <reference field="4294967294" count="1" selected="0">
            <x v="0"/>
          </reference>
          <reference field="0" count="1" selected="0">
            <x v="34"/>
          </reference>
          <reference field="2" count="1" selected="0">
            <x v="2"/>
          </reference>
        </references>
      </pivotArea>
    </chartFormat>
    <chartFormat chart="7" format="239">
      <pivotArea type="data" outline="0" fieldPosition="0">
        <references count="3">
          <reference field="4294967294" count="1" selected="0">
            <x v="0"/>
          </reference>
          <reference field="0" count="1" selected="0">
            <x v="35"/>
          </reference>
          <reference field="2" count="1" selected="0">
            <x v="2"/>
          </reference>
        </references>
      </pivotArea>
    </chartFormat>
    <chartFormat chart="7" format="240">
      <pivotArea type="data" outline="0" fieldPosition="0">
        <references count="3">
          <reference field="4294967294" count="1" selected="0">
            <x v="0"/>
          </reference>
          <reference field="0" count="1" selected="0">
            <x v="36"/>
          </reference>
          <reference field="2" count="1" selected="0">
            <x v="2"/>
          </reference>
        </references>
      </pivotArea>
    </chartFormat>
    <chartFormat chart="7" format="241">
      <pivotArea type="data" outline="0" fieldPosition="0">
        <references count="3">
          <reference field="4294967294" count="1" selected="0">
            <x v="0"/>
          </reference>
          <reference field="0" count="1" selected="0">
            <x v="37"/>
          </reference>
          <reference field="2" count="1" selected="0">
            <x v="2"/>
          </reference>
        </references>
      </pivotArea>
    </chartFormat>
    <chartFormat chart="7" format="242">
      <pivotArea type="data" outline="0" fieldPosition="0">
        <references count="3">
          <reference field="4294967294" count="1" selected="0">
            <x v="0"/>
          </reference>
          <reference field="0" count="1" selected="0">
            <x v="38"/>
          </reference>
          <reference field="2" count="1" selected="0">
            <x v="2"/>
          </reference>
        </references>
      </pivotArea>
    </chartFormat>
    <chartFormat chart="9" format="6" series="1">
      <pivotArea type="data" outline="0" fieldPosition="0">
        <references count="2">
          <reference field="4294967294" count="1" selected="0">
            <x v="0"/>
          </reference>
          <reference field="2" count="1" selected="0">
            <x v="0"/>
          </reference>
        </references>
      </pivotArea>
    </chartFormat>
    <chartFormat chart="9" format="7" series="1">
      <pivotArea type="data" outline="0" fieldPosition="0">
        <references count="2">
          <reference field="4294967294" count="1" selected="0">
            <x v="0"/>
          </reference>
          <reference field="2" count="1" selected="0">
            <x v="1"/>
          </reference>
        </references>
      </pivotArea>
    </chartFormat>
    <chartFormat chart="9" format="8" series="1">
      <pivotArea type="data" outline="0" fieldPosition="0">
        <references count="2">
          <reference field="4294967294" count="1" selected="0">
            <x v="0"/>
          </reference>
          <reference field="2" count="1" selected="0">
            <x v="2"/>
          </reference>
        </references>
      </pivotArea>
    </chartFormat>
    <chartFormat chart="14" format="0" series="1">
      <pivotArea type="data" outline="0" fieldPosition="0">
        <references count="2">
          <reference field="4294967294" count="1" selected="0">
            <x v="0"/>
          </reference>
          <reference field="2" count="1" selected="0">
            <x v="0"/>
          </reference>
        </references>
      </pivotArea>
    </chartFormat>
    <chartFormat chart="14" format="1" series="1">
      <pivotArea type="data" outline="0" fieldPosition="0">
        <references count="2">
          <reference field="4294967294" count="1" selected="0">
            <x v="0"/>
          </reference>
          <reference field="2" count="1" selected="0">
            <x v="1"/>
          </reference>
        </references>
      </pivotArea>
    </chartFormat>
    <chartFormat chart="14" format="2" series="1">
      <pivotArea type="data" outline="0" fieldPosition="0">
        <references count="2">
          <reference field="4294967294" count="1" selected="0">
            <x v="0"/>
          </reference>
          <reference field="2" count="1" selected="0">
            <x v="2"/>
          </reference>
        </references>
      </pivotArea>
    </chartFormat>
    <chartFormat chart="18" format="0" series="1">
      <pivotArea type="data" outline="0" fieldPosition="0">
        <references count="2">
          <reference field="4294967294" count="1" selected="0">
            <x v="0"/>
          </reference>
          <reference field="2" count="1" selected="0">
            <x v="0"/>
          </reference>
        </references>
      </pivotArea>
    </chartFormat>
    <chartFormat chart="18" format="1" series="1">
      <pivotArea type="data" outline="0" fieldPosition="0">
        <references count="2">
          <reference field="4294967294" count="1" selected="0">
            <x v="0"/>
          </reference>
          <reference field="2" count="1" selected="0">
            <x v="1"/>
          </reference>
        </references>
      </pivotArea>
    </chartFormat>
    <chartFormat chart="18" format="2" series="1">
      <pivotArea type="data" outline="0" fieldPosition="0">
        <references count="2">
          <reference field="4294967294" count="1" selected="0">
            <x v="0"/>
          </reference>
          <reference field="2" count="1" selected="0">
            <x v="2"/>
          </reference>
        </references>
      </pivotArea>
    </chartFormat>
    <chartFormat chart="20" format="6" series="1">
      <pivotArea type="data" outline="0" fieldPosition="0">
        <references count="2">
          <reference field="4294967294" count="1" selected="0">
            <x v="0"/>
          </reference>
          <reference field="2" count="1" selected="0">
            <x v="0"/>
          </reference>
        </references>
      </pivotArea>
    </chartFormat>
    <chartFormat chart="20" format="7" series="1">
      <pivotArea type="data" outline="0" fieldPosition="0">
        <references count="2">
          <reference field="4294967294" count="1" selected="0">
            <x v="0"/>
          </reference>
          <reference field="2" count="1" selected="0">
            <x v="1"/>
          </reference>
        </references>
      </pivotArea>
    </chartFormat>
    <chartFormat chart="20" format="8" series="1">
      <pivotArea type="data" outline="0" fieldPosition="0">
        <references count="2">
          <reference field="4294967294" count="1" selected="0">
            <x v="0"/>
          </reference>
          <reference field="2" count="1" selected="0">
            <x v="2"/>
          </reference>
        </references>
      </pivotArea>
    </chartFormat>
    <chartFormat chart="22" format="0" series="1">
      <pivotArea type="data" outline="0" fieldPosition="0">
        <references count="2">
          <reference field="4294967294" count="1" selected="0">
            <x v="0"/>
          </reference>
          <reference field="2" count="1" selected="0">
            <x v="0"/>
          </reference>
        </references>
      </pivotArea>
    </chartFormat>
    <chartFormat chart="22" format="1" series="1">
      <pivotArea type="data" outline="0" fieldPosition="0">
        <references count="2">
          <reference field="4294967294" count="1" selected="0">
            <x v="0"/>
          </reference>
          <reference field="2" count="1" selected="0">
            <x v="1"/>
          </reference>
        </references>
      </pivotArea>
    </chartFormat>
    <chartFormat chart="22" format="2" series="1">
      <pivotArea type="data" outline="0" fieldPosition="0">
        <references count="2">
          <reference field="4294967294" count="1" selected="0">
            <x v="0"/>
          </reference>
          <reference field="2" count="1" selected="0">
            <x v="2"/>
          </reference>
        </references>
      </pivotArea>
    </chartFormat>
    <chartFormat chart="24" format="123" series="1">
      <pivotArea type="data" outline="0" fieldPosition="0">
        <references count="2">
          <reference field="4294967294" count="1" selected="0">
            <x v="0"/>
          </reference>
          <reference field="2" count="1" selected="0">
            <x v="0"/>
          </reference>
        </references>
      </pivotArea>
    </chartFormat>
    <chartFormat chart="24" format="124">
      <pivotArea type="data" outline="0" fieldPosition="0">
        <references count="3">
          <reference field="4294967294" count="1" selected="0">
            <x v="0"/>
          </reference>
          <reference field="0" count="1" selected="0">
            <x v="0"/>
          </reference>
          <reference field="2" count="1" selected="0">
            <x v="0"/>
          </reference>
        </references>
      </pivotArea>
    </chartFormat>
    <chartFormat chart="24" format="125">
      <pivotArea type="data" outline="0" fieldPosition="0">
        <references count="3">
          <reference field="4294967294" count="1" selected="0">
            <x v="0"/>
          </reference>
          <reference field="0" count="1" selected="0">
            <x v="1"/>
          </reference>
          <reference field="2" count="1" selected="0">
            <x v="0"/>
          </reference>
        </references>
      </pivotArea>
    </chartFormat>
    <chartFormat chart="24" format="126">
      <pivotArea type="data" outline="0" fieldPosition="0">
        <references count="3">
          <reference field="4294967294" count="1" selected="0">
            <x v="0"/>
          </reference>
          <reference field="0" count="1" selected="0">
            <x v="2"/>
          </reference>
          <reference field="2" count="1" selected="0">
            <x v="0"/>
          </reference>
        </references>
      </pivotArea>
    </chartFormat>
    <chartFormat chart="24" format="127">
      <pivotArea type="data" outline="0" fieldPosition="0">
        <references count="3">
          <reference field="4294967294" count="1" selected="0">
            <x v="0"/>
          </reference>
          <reference field="0" count="1" selected="0">
            <x v="3"/>
          </reference>
          <reference field="2" count="1" selected="0">
            <x v="0"/>
          </reference>
        </references>
      </pivotArea>
    </chartFormat>
    <chartFormat chart="24" format="128">
      <pivotArea type="data" outline="0" fieldPosition="0">
        <references count="3">
          <reference field="4294967294" count="1" selected="0">
            <x v="0"/>
          </reference>
          <reference field="0" count="1" selected="0">
            <x v="4"/>
          </reference>
          <reference field="2" count="1" selected="0">
            <x v="0"/>
          </reference>
        </references>
      </pivotArea>
    </chartFormat>
    <chartFormat chart="24" format="129">
      <pivotArea type="data" outline="0" fieldPosition="0">
        <references count="3">
          <reference field="4294967294" count="1" selected="0">
            <x v="0"/>
          </reference>
          <reference field="0" count="1" selected="0">
            <x v="5"/>
          </reference>
          <reference field="2" count="1" selected="0">
            <x v="0"/>
          </reference>
        </references>
      </pivotArea>
    </chartFormat>
    <chartFormat chart="24" format="130">
      <pivotArea type="data" outline="0" fieldPosition="0">
        <references count="3">
          <reference field="4294967294" count="1" selected="0">
            <x v="0"/>
          </reference>
          <reference field="0" count="1" selected="0">
            <x v="6"/>
          </reference>
          <reference field="2" count="1" selected="0">
            <x v="0"/>
          </reference>
        </references>
      </pivotArea>
    </chartFormat>
    <chartFormat chart="24" format="131">
      <pivotArea type="data" outline="0" fieldPosition="0">
        <references count="3">
          <reference field="4294967294" count="1" selected="0">
            <x v="0"/>
          </reference>
          <reference field="0" count="1" selected="0">
            <x v="7"/>
          </reference>
          <reference field="2" count="1" selected="0">
            <x v="0"/>
          </reference>
        </references>
      </pivotArea>
    </chartFormat>
    <chartFormat chart="24" format="132">
      <pivotArea type="data" outline="0" fieldPosition="0">
        <references count="3">
          <reference field="4294967294" count="1" selected="0">
            <x v="0"/>
          </reference>
          <reference field="0" count="1" selected="0">
            <x v="8"/>
          </reference>
          <reference field="2" count="1" selected="0">
            <x v="0"/>
          </reference>
        </references>
      </pivotArea>
    </chartFormat>
    <chartFormat chart="24" format="133">
      <pivotArea type="data" outline="0" fieldPosition="0">
        <references count="3">
          <reference field="4294967294" count="1" selected="0">
            <x v="0"/>
          </reference>
          <reference field="0" count="1" selected="0">
            <x v="9"/>
          </reference>
          <reference field="2" count="1" selected="0">
            <x v="0"/>
          </reference>
        </references>
      </pivotArea>
    </chartFormat>
    <chartFormat chart="24" format="134">
      <pivotArea type="data" outline="0" fieldPosition="0">
        <references count="3">
          <reference field="4294967294" count="1" selected="0">
            <x v="0"/>
          </reference>
          <reference field="0" count="1" selected="0">
            <x v="10"/>
          </reference>
          <reference field="2" count="1" selected="0">
            <x v="0"/>
          </reference>
        </references>
      </pivotArea>
    </chartFormat>
    <chartFormat chart="24" format="135">
      <pivotArea type="data" outline="0" fieldPosition="0">
        <references count="3">
          <reference field="4294967294" count="1" selected="0">
            <x v="0"/>
          </reference>
          <reference field="0" count="1" selected="0">
            <x v="11"/>
          </reference>
          <reference field="2" count="1" selected="0">
            <x v="0"/>
          </reference>
        </references>
      </pivotArea>
    </chartFormat>
    <chartFormat chart="24" format="136">
      <pivotArea type="data" outline="0" fieldPosition="0">
        <references count="3">
          <reference field="4294967294" count="1" selected="0">
            <x v="0"/>
          </reference>
          <reference field="0" count="1" selected="0">
            <x v="12"/>
          </reference>
          <reference field="2" count="1" selected="0">
            <x v="0"/>
          </reference>
        </references>
      </pivotArea>
    </chartFormat>
    <chartFormat chart="24" format="137">
      <pivotArea type="data" outline="0" fieldPosition="0">
        <references count="3">
          <reference field="4294967294" count="1" selected="0">
            <x v="0"/>
          </reference>
          <reference field="0" count="1" selected="0">
            <x v="13"/>
          </reference>
          <reference field="2" count="1" selected="0">
            <x v="0"/>
          </reference>
        </references>
      </pivotArea>
    </chartFormat>
    <chartFormat chart="24" format="138">
      <pivotArea type="data" outline="0" fieldPosition="0">
        <references count="3">
          <reference field="4294967294" count="1" selected="0">
            <x v="0"/>
          </reference>
          <reference field="0" count="1" selected="0">
            <x v="14"/>
          </reference>
          <reference field="2" count="1" selected="0">
            <x v="0"/>
          </reference>
        </references>
      </pivotArea>
    </chartFormat>
    <chartFormat chart="24" format="139">
      <pivotArea type="data" outline="0" fieldPosition="0">
        <references count="3">
          <reference field="4294967294" count="1" selected="0">
            <x v="0"/>
          </reference>
          <reference field="0" count="1" selected="0">
            <x v="15"/>
          </reference>
          <reference field="2" count="1" selected="0">
            <x v="0"/>
          </reference>
        </references>
      </pivotArea>
    </chartFormat>
    <chartFormat chart="24" format="140">
      <pivotArea type="data" outline="0" fieldPosition="0">
        <references count="3">
          <reference field="4294967294" count="1" selected="0">
            <x v="0"/>
          </reference>
          <reference field="0" count="1" selected="0">
            <x v="16"/>
          </reference>
          <reference field="2" count="1" selected="0">
            <x v="0"/>
          </reference>
        </references>
      </pivotArea>
    </chartFormat>
    <chartFormat chart="24" format="141">
      <pivotArea type="data" outline="0" fieldPosition="0">
        <references count="3">
          <reference field="4294967294" count="1" selected="0">
            <x v="0"/>
          </reference>
          <reference field="0" count="1" selected="0">
            <x v="17"/>
          </reference>
          <reference field="2" count="1" selected="0">
            <x v="0"/>
          </reference>
        </references>
      </pivotArea>
    </chartFormat>
    <chartFormat chart="24" format="142">
      <pivotArea type="data" outline="0" fieldPosition="0">
        <references count="3">
          <reference field="4294967294" count="1" selected="0">
            <x v="0"/>
          </reference>
          <reference field="0" count="1" selected="0">
            <x v="18"/>
          </reference>
          <reference field="2" count="1" selected="0">
            <x v="0"/>
          </reference>
        </references>
      </pivotArea>
    </chartFormat>
    <chartFormat chart="24" format="143">
      <pivotArea type="data" outline="0" fieldPosition="0">
        <references count="3">
          <reference field="4294967294" count="1" selected="0">
            <x v="0"/>
          </reference>
          <reference field="0" count="1" selected="0">
            <x v="19"/>
          </reference>
          <reference field="2" count="1" selected="0">
            <x v="0"/>
          </reference>
        </references>
      </pivotArea>
    </chartFormat>
    <chartFormat chart="24" format="144">
      <pivotArea type="data" outline="0" fieldPosition="0">
        <references count="3">
          <reference field="4294967294" count="1" selected="0">
            <x v="0"/>
          </reference>
          <reference field="0" count="1" selected="0">
            <x v="20"/>
          </reference>
          <reference field="2" count="1" selected="0">
            <x v="0"/>
          </reference>
        </references>
      </pivotArea>
    </chartFormat>
    <chartFormat chart="24" format="145">
      <pivotArea type="data" outline="0" fieldPosition="0">
        <references count="3">
          <reference field="4294967294" count="1" selected="0">
            <x v="0"/>
          </reference>
          <reference field="0" count="1" selected="0">
            <x v="21"/>
          </reference>
          <reference field="2" count="1" selected="0">
            <x v="0"/>
          </reference>
        </references>
      </pivotArea>
    </chartFormat>
    <chartFormat chart="24" format="146">
      <pivotArea type="data" outline="0" fieldPosition="0">
        <references count="3">
          <reference field="4294967294" count="1" selected="0">
            <x v="0"/>
          </reference>
          <reference field="0" count="1" selected="0">
            <x v="22"/>
          </reference>
          <reference field="2" count="1" selected="0">
            <x v="0"/>
          </reference>
        </references>
      </pivotArea>
    </chartFormat>
    <chartFormat chart="24" format="147">
      <pivotArea type="data" outline="0" fieldPosition="0">
        <references count="3">
          <reference field="4294967294" count="1" selected="0">
            <x v="0"/>
          </reference>
          <reference field="0" count="1" selected="0">
            <x v="23"/>
          </reference>
          <reference field="2" count="1" selected="0">
            <x v="0"/>
          </reference>
        </references>
      </pivotArea>
    </chartFormat>
    <chartFormat chart="24" format="148">
      <pivotArea type="data" outline="0" fieldPosition="0">
        <references count="3">
          <reference field="4294967294" count="1" selected="0">
            <x v="0"/>
          </reference>
          <reference field="0" count="1" selected="0">
            <x v="24"/>
          </reference>
          <reference field="2" count="1" selected="0">
            <x v="0"/>
          </reference>
        </references>
      </pivotArea>
    </chartFormat>
    <chartFormat chart="24" format="149">
      <pivotArea type="data" outline="0" fieldPosition="0">
        <references count="3">
          <reference field="4294967294" count="1" selected="0">
            <x v="0"/>
          </reference>
          <reference field="0" count="1" selected="0">
            <x v="25"/>
          </reference>
          <reference field="2" count="1" selected="0">
            <x v="0"/>
          </reference>
        </references>
      </pivotArea>
    </chartFormat>
    <chartFormat chart="24" format="150">
      <pivotArea type="data" outline="0" fieldPosition="0">
        <references count="3">
          <reference field="4294967294" count="1" selected="0">
            <x v="0"/>
          </reference>
          <reference field="0" count="1" selected="0">
            <x v="26"/>
          </reference>
          <reference field="2" count="1" selected="0">
            <x v="0"/>
          </reference>
        </references>
      </pivotArea>
    </chartFormat>
    <chartFormat chart="24" format="151">
      <pivotArea type="data" outline="0" fieldPosition="0">
        <references count="3">
          <reference field="4294967294" count="1" selected="0">
            <x v="0"/>
          </reference>
          <reference field="0" count="1" selected="0">
            <x v="27"/>
          </reference>
          <reference field="2" count="1" selected="0">
            <x v="0"/>
          </reference>
        </references>
      </pivotArea>
    </chartFormat>
    <chartFormat chart="24" format="152">
      <pivotArea type="data" outline="0" fieldPosition="0">
        <references count="3">
          <reference field="4294967294" count="1" selected="0">
            <x v="0"/>
          </reference>
          <reference field="0" count="1" selected="0">
            <x v="28"/>
          </reference>
          <reference field="2" count="1" selected="0">
            <x v="0"/>
          </reference>
        </references>
      </pivotArea>
    </chartFormat>
    <chartFormat chart="24" format="153">
      <pivotArea type="data" outline="0" fieldPosition="0">
        <references count="3">
          <reference field="4294967294" count="1" selected="0">
            <x v="0"/>
          </reference>
          <reference field="0" count="1" selected="0">
            <x v="29"/>
          </reference>
          <reference field="2" count="1" selected="0">
            <x v="0"/>
          </reference>
        </references>
      </pivotArea>
    </chartFormat>
    <chartFormat chart="24" format="154">
      <pivotArea type="data" outline="0" fieldPosition="0">
        <references count="3">
          <reference field="4294967294" count="1" selected="0">
            <x v="0"/>
          </reference>
          <reference field="0" count="1" selected="0">
            <x v="30"/>
          </reference>
          <reference field="2" count="1" selected="0">
            <x v="0"/>
          </reference>
        </references>
      </pivotArea>
    </chartFormat>
    <chartFormat chart="24" format="155">
      <pivotArea type="data" outline="0" fieldPosition="0">
        <references count="3">
          <reference field="4294967294" count="1" selected="0">
            <x v="0"/>
          </reference>
          <reference field="0" count="1" selected="0">
            <x v="31"/>
          </reference>
          <reference field="2" count="1" selected="0">
            <x v="0"/>
          </reference>
        </references>
      </pivotArea>
    </chartFormat>
    <chartFormat chart="24" format="156">
      <pivotArea type="data" outline="0" fieldPosition="0">
        <references count="3">
          <reference field="4294967294" count="1" selected="0">
            <x v="0"/>
          </reference>
          <reference field="0" count="1" selected="0">
            <x v="32"/>
          </reference>
          <reference field="2" count="1" selected="0">
            <x v="0"/>
          </reference>
        </references>
      </pivotArea>
    </chartFormat>
    <chartFormat chart="24" format="157">
      <pivotArea type="data" outline="0" fieldPosition="0">
        <references count="3">
          <reference field="4294967294" count="1" selected="0">
            <x v="0"/>
          </reference>
          <reference field="0" count="1" selected="0">
            <x v="33"/>
          </reference>
          <reference field="2" count="1" selected="0">
            <x v="0"/>
          </reference>
        </references>
      </pivotArea>
    </chartFormat>
    <chartFormat chart="24" format="158">
      <pivotArea type="data" outline="0" fieldPosition="0">
        <references count="3">
          <reference field="4294967294" count="1" selected="0">
            <x v="0"/>
          </reference>
          <reference field="0" count="1" selected="0">
            <x v="34"/>
          </reference>
          <reference field="2" count="1" selected="0">
            <x v="0"/>
          </reference>
        </references>
      </pivotArea>
    </chartFormat>
    <chartFormat chart="24" format="159">
      <pivotArea type="data" outline="0" fieldPosition="0">
        <references count="3">
          <reference field="4294967294" count="1" selected="0">
            <x v="0"/>
          </reference>
          <reference field="0" count="1" selected="0">
            <x v="35"/>
          </reference>
          <reference field="2" count="1" selected="0">
            <x v="0"/>
          </reference>
        </references>
      </pivotArea>
    </chartFormat>
    <chartFormat chart="24" format="160">
      <pivotArea type="data" outline="0" fieldPosition="0">
        <references count="3">
          <reference field="4294967294" count="1" selected="0">
            <x v="0"/>
          </reference>
          <reference field="0" count="1" selected="0">
            <x v="36"/>
          </reference>
          <reference field="2" count="1" selected="0">
            <x v="0"/>
          </reference>
        </references>
      </pivotArea>
    </chartFormat>
    <chartFormat chart="24" format="161">
      <pivotArea type="data" outline="0" fieldPosition="0">
        <references count="3">
          <reference field="4294967294" count="1" selected="0">
            <x v="0"/>
          </reference>
          <reference field="0" count="1" selected="0">
            <x v="37"/>
          </reference>
          <reference field="2" count="1" selected="0">
            <x v="0"/>
          </reference>
        </references>
      </pivotArea>
    </chartFormat>
    <chartFormat chart="24" format="162">
      <pivotArea type="data" outline="0" fieldPosition="0">
        <references count="3">
          <reference field="4294967294" count="1" selected="0">
            <x v="0"/>
          </reference>
          <reference field="0" count="1" selected="0">
            <x v="38"/>
          </reference>
          <reference field="2" count="1" selected="0">
            <x v="0"/>
          </reference>
        </references>
      </pivotArea>
    </chartFormat>
    <chartFormat chart="24" format="163" series="1">
      <pivotArea type="data" outline="0" fieldPosition="0">
        <references count="2">
          <reference field="4294967294" count="1" selected="0">
            <x v="0"/>
          </reference>
          <reference field="2" count="1" selected="0">
            <x v="1"/>
          </reference>
        </references>
      </pivotArea>
    </chartFormat>
    <chartFormat chart="24" format="164">
      <pivotArea type="data" outline="0" fieldPosition="0">
        <references count="3">
          <reference field="4294967294" count="1" selected="0">
            <x v="0"/>
          </reference>
          <reference field="0" count="1" selected="0">
            <x v="0"/>
          </reference>
          <reference field="2" count="1" selected="0">
            <x v="1"/>
          </reference>
        </references>
      </pivotArea>
    </chartFormat>
    <chartFormat chart="24" format="165">
      <pivotArea type="data" outline="0" fieldPosition="0">
        <references count="3">
          <reference field="4294967294" count="1" selected="0">
            <x v="0"/>
          </reference>
          <reference field="0" count="1" selected="0">
            <x v="1"/>
          </reference>
          <reference field="2" count="1" selected="0">
            <x v="1"/>
          </reference>
        </references>
      </pivotArea>
    </chartFormat>
    <chartFormat chart="24" format="166">
      <pivotArea type="data" outline="0" fieldPosition="0">
        <references count="3">
          <reference field="4294967294" count="1" selected="0">
            <x v="0"/>
          </reference>
          <reference field="0" count="1" selected="0">
            <x v="2"/>
          </reference>
          <reference field="2" count="1" selected="0">
            <x v="1"/>
          </reference>
        </references>
      </pivotArea>
    </chartFormat>
    <chartFormat chart="24" format="167">
      <pivotArea type="data" outline="0" fieldPosition="0">
        <references count="3">
          <reference field="4294967294" count="1" selected="0">
            <x v="0"/>
          </reference>
          <reference field="0" count="1" selected="0">
            <x v="3"/>
          </reference>
          <reference field="2" count="1" selected="0">
            <x v="1"/>
          </reference>
        </references>
      </pivotArea>
    </chartFormat>
    <chartFormat chart="24" format="168">
      <pivotArea type="data" outline="0" fieldPosition="0">
        <references count="3">
          <reference field="4294967294" count="1" selected="0">
            <x v="0"/>
          </reference>
          <reference field="0" count="1" selected="0">
            <x v="4"/>
          </reference>
          <reference field="2" count="1" selected="0">
            <x v="1"/>
          </reference>
        </references>
      </pivotArea>
    </chartFormat>
    <chartFormat chart="24" format="169">
      <pivotArea type="data" outline="0" fieldPosition="0">
        <references count="3">
          <reference field="4294967294" count="1" selected="0">
            <x v="0"/>
          </reference>
          <reference field="0" count="1" selected="0">
            <x v="5"/>
          </reference>
          <reference field="2" count="1" selected="0">
            <x v="1"/>
          </reference>
        </references>
      </pivotArea>
    </chartFormat>
    <chartFormat chart="24" format="170">
      <pivotArea type="data" outline="0" fieldPosition="0">
        <references count="3">
          <reference field="4294967294" count="1" selected="0">
            <x v="0"/>
          </reference>
          <reference field="0" count="1" selected="0">
            <x v="6"/>
          </reference>
          <reference field="2" count="1" selected="0">
            <x v="1"/>
          </reference>
        </references>
      </pivotArea>
    </chartFormat>
    <chartFormat chart="24" format="171">
      <pivotArea type="data" outline="0" fieldPosition="0">
        <references count="3">
          <reference field="4294967294" count="1" selected="0">
            <x v="0"/>
          </reference>
          <reference field="0" count="1" selected="0">
            <x v="7"/>
          </reference>
          <reference field="2" count="1" selected="0">
            <x v="1"/>
          </reference>
        </references>
      </pivotArea>
    </chartFormat>
    <chartFormat chart="24" format="172">
      <pivotArea type="data" outline="0" fieldPosition="0">
        <references count="3">
          <reference field="4294967294" count="1" selected="0">
            <x v="0"/>
          </reference>
          <reference field="0" count="1" selected="0">
            <x v="8"/>
          </reference>
          <reference field="2" count="1" selected="0">
            <x v="1"/>
          </reference>
        </references>
      </pivotArea>
    </chartFormat>
    <chartFormat chart="24" format="173">
      <pivotArea type="data" outline="0" fieldPosition="0">
        <references count="3">
          <reference field="4294967294" count="1" selected="0">
            <x v="0"/>
          </reference>
          <reference field="0" count="1" selected="0">
            <x v="9"/>
          </reference>
          <reference field="2" count="1" selected="0">
            <x v="1"/>
          </reference>
        </references>
      </pivotArea>
    </chartFormat>
    <chartFormat chart="24" format="174">
      <pivotArea type="data" outline="0" fieldPosition="0">
        <references count="3">
          <reference field="4294967294" count="1" selected="0">
            <x v="0"/>
          </reference>
          <reference field="0" count="1" selected="0">
            <x v="10"/>
          </reference>
          <reference field="2" count="1" selected="0">
            <x v="1"/>
          </reference>
        </references>
      </pivotArea>
    </chartFormat>
    <chartFormat chart="24" format="175">
      <pivotArea type="data" outline="0" fieldPosition="0">
        <references count="3">
          <reference field="4294967294" count="1" selected="0">
            <x v="0"/>
          </reference>
          <reference field="0" count="1" selected="0">
            <x v="11"/>
          </reference>
          <reference field="2" count="1" selected="0">
            <x v="1"/>
          </reference>
        </references>
      </pivotArea>
    </chartFormat>
    <chartFormat chart="24" format="176">
      <pivotArea type="data" outline="0" fieldPosition="0">
        <references count="3">
          <reference field="4294967294" count="1" selected="0">
            <x v="0"/>
          </reference>
          <reference field="0" count="1" selected="0">
            <x v="12"/>
          </reference>
          <reference field="2" count="1" selected="0">
            <x v="1"/>
          </reference>
        </references>
      </pivotArea>
    </chartFormat>
    <chartFormat chart="24" format="177">
      <pivotArea type="data" outline="0" fieldPosition="0">
        <references count="3">
          <reference field="4294967294" count="1" selected="0">
            <x v="0"/>
          </reference>
          <reference field="0" count="1" selected="0">
            <x v="13"/>
          </reference>
          <reference field="2" count="1" selected="0">
            <x v="1"/>
          </reference>
        </references>
      </pivotArea>
    </chartFormat>
    <chartFormat chart="24" format="178">
      <pivotArea type="data" outline="0" fieldPosition="0">
        <references count="3">
          <reference field="4294967294" count="1" selected="0">
            <x v="0"/>
          </reference>
          <reference field="0" count="1" selected="0">
            <x v="14"/>
          </reference>
          <reference field="2" count="1" selected="0">
            <x v="1"/>
          </reference>
        </references>
      </pivotArea>
    </chartFormat>
    <chartFormat chart="24" format="179">
      <pivotArea type="data" outline="0" fieldPosition="0">
        <references count="3">
          <reference field="4294967294" count="1" selected="0">
            <x v="0"/>
          </reference>
          <reference field="0" count="1" selected="0">
            <x v="15"/>
          </reference>
          <reference field="2" count="1" selected="0">
            <x v="1"/>
          </reference>
        </references>
      </pivotArea>
    </chartFormat>
    <chartFormat chart="24" format="180">
      <pivotArea type="data" outline="0" fieldPosition="0">
        <references count="3">
          <reference field="4294967294" count="1" selected="0">
            <x v="0"/>
          </reference>
          <reference field="0" count="1" selected="0">
            <x v="16"/>
          </reference>
          <reference field="2" count="1" selected="0">
            <x v="1"/>
          </reference>
        </references>
      </pivotArea>
    </chartFormat>
    <chartFormat chart="24" format="181">
      <pivotArea type="data" outline="0" fieldPosition="0">
        <references count="3">
          <reference field="4294967294" count="1" selected="0">
            <x v="0"/>
          </reference>
          <reference field="0" count="1" selected="0">
            <x v="17"/>
          </reference>
          <reference field="2" count="1" selected="0">
            <x v="1"/>
          </reference>
        </references>
      </pivotArea>
    </chartFormat>
    <chartFormat chart="24" format="182">
      <pivotArea type="data" outline="0" fieldPosition="0">
        <references count="3">
          <reference field="4294967294" count="1" selected="0">
            <x v="0"/>
          </reference>
          <reference field="0" count="1" selected="0">
            <x v="18"/>
          </reference>
          <reference field="2" count="1" selected="0">
            <x v="1"/>
          </reference>
        </references>
      </pivotArea>
    </chartFormat>
    <chartFormat chart="24" format="183">
      <pivotArea type="data" outline="0" fieldPosition="0">
        <references count="3">
          <reference field="4294967294" count="1" selected="0">
            <x v="0"/>
          </reference>
          <reference field="0" count="1" selected="0">
            <x v="19"/>
          </reference>
          <reference field="2" count="1" selected="0">
            <x v="1"/>
          </reference>
        </references>
      </pivotArea>
    </chartFormat>
    <chartFormat chart="24" format="184">
      <pivotArea type="data" outline="0" fieldPosition="0">
        <references count="3">
          <reference field="4294967294" count="1" selected="0">
            <x v="0"/>
          </reference>
          <reference field="0" count="1" selected="0">
            <x v="20"/>
          </reference>
          <reference field="2" count="1" selected="0">
            <x v="1"/>
          </reference>
        </references>
      </pivotArea>
    </chartFormat>
    <chartFormat chart="24" format="185">
      <pivotArea type="data" outline="0" fieldPosition="0">
        <references count="3">
          <reference field="4294967294" count="1" selected="0">
            <x v="0"/>
          </reference>
          <reference field="0" count="1" selected="0">
            <x v="21"/>
          </reference>
          <reference field="2" count="1" selected="0">
            <x v="1"/>
          </reference>
        </references>
      </pivotArea>
    </chartFormat>
    <chartFormat chart="24" format="186">
      <pivotArea type="data" outline="0" fieldPosition="0">
        <references count="3">
          <reference field="4294967294" count="1" selected="0">
            <x v="0"/>
          </reference>
          <reference field="0" count="1" selected="0">
            <x v="22"/>
          </reference>
          <reference field="2" count="1" selected="0">
            <x v="1"/>
          </reference>
        </references>
      </pivotArea>
    </chartFormat>
    <chartFormat chart="24" format="187">
      <pivotArea type="data" outline="0" fieldPosition="0">
        <references count="3">
          <reference field="4294967294" count="1" selected="0">
            <x v="0"/>
          </reference>
          <reference field="0" count="1" selected="0">
            <x v="23"/>
          </reference>
          <reference field="2" count="1" selected="0">
            <x v="1"/>
          </reference>
        </references>
      </pivotArea>
    </chartFormat>
    <chartFormat chart="24" format="188">
      <pivotArea type="data" outline="0" fieldPosition="0">
        <references count="3">
          <reference field="4294967294" count="1" selected="0">
            <x v="0"/>
          </reference>
          <reference field="0" count="1" selected="0">
            <x v="24"/>
          </reference>
          <reference field="2" count="1" selected="0">
            <x v="1"/>
          </reference>
        </references>
      </pivotArea>
    </chartFormat>
    <chartFormat chart="24" format="189">
      <pivotArea type="data" outline="0" fieldPosition="0">
        <references count="3">
          <reference field="4294967294" count="1" selected="0">
            <x v="0"/>
          </reference>
          <reference field="0" count="1" selected="0">
            <x v="25"/>
          </reference>
          <reference field="2" count="1" selected="0">
            <x v="1"/>
          </reference>
        </references>
      </pivotArea>
    </chartFormat>
    <chartFormat chart="24" format="190">
      <pivotArea type="data" outline="0" fieldPosition="0">
        <references count="3">
          <reference field="4294967294" count="1" selected="0">
            <x v="0"/>
          </reference>
          <reference field="0" count="1" selected="0">
            <x v="26"/>
          </reference>
          <reference field="2" count="1" selected="0">
            <x v="1"/>
          </reference>
        </references>
      </pivotArea>
    </chartFormat>
    <chartFormat chart="24" format="191">
      <pivotArea type="data" outline="0" fieldPosition="0">
        <references count="3">
          <reference field="4294967294" count="1" selected="0">
            <x v="0"/>
          </reference>
          <reference field="0" count="1" selected="0">
            <x v="27"/>
          </reference>
          <reference field="2" count="1" selected="0">
            <x v="1"/>
          </reference>
        </references>
      </pivotArea>
    </chartFormat>
    <chartFormat chart="24" format="192">
      <pivotArea type="data" outline="0" fieldPosition="0">
        <references count="3">
          <reference field="4294967294" count="1" selected="0">
            <x v="0"/>
          </reference>
          <reference field="0" count="1" selected="0">
            <x v="28"/>
          </reference>
          <reference field="2" count="1" selected="0">
            <x v="1"/>
          </reference>
        </references>
      </pivotArea>
    </chartFormat>
    <chartFormat chart="24" format="193">
      <pivotArea type="data" outline="0" fieldPosition="0">
        <references count="3">
          <reference field="4294967294" count="1" selected="0">
            <x v="0"/>
          </reference>
          <reference field="0" count="1" selected="0">
            <x v="29"/>
          </reference>
          <reference field="2" count="1" selected="0">
            <x v="1"/>
          </reference>
        </references>
      </pivotArea>
    </chartFormat>
    <chartFormat chart="24" format="194">
      <pivotArea type="data" outline="0" fieldPosition="0">
        <references count="3">
          <reference field="4294967294" count="1" selected="0">
            <x v="0"/>
          </reference>
          <reference field="0" count="1" selected="0">
            <x v="30"/>
          </reference>
          <reference field="2" count="1" selected="0">
            <x v="1"/>
          </reference>
        </references>
      </pivotArea>
    </chartFormat>
    <chartFormat chart="24" format="195">
      <pivotArea type="data" outline="0" fieldPosition="0">
        <references count="3">
          <reference field="4294967294" count="1" selected="0">
            <x v="0"/>
          </reference>
          <reference field="0" count="1" selected="0">
            <x v="31"/>
          </reference>
          <reference field="2" count="1" selected="0">
            <x v="1"/>
          </reference>
        </references>
      </pivotArea>
    </chartFormat>
    <chartFormat chart="24" format="196">
      <pivotArea type="data" outline="0" fieldPosition="0">
        <references count="3">
          <reference field="4294967294" count="1" selected="0">
            <x v="0"/>
          </reference>
          <reference field="0" count="1" selected="0">
            <x v="32"/>
          </reference>
          <reference field="2" count="1" selected="0">
            <x v="1"/>
          </reference>
        </references>
      </pivotArea>
    </chartFormat>
    <chartFormat chart="24" format="197">
      <pivotArea type="data" outline="0" fieldPosition="0">
        <references count="3">
          <reference field="4294967294" count="1" selected="0">
            <x v="0"/>
          </reference>
          <reference field="0" count="1" selected="0">
            <x v="33"/>
          </reference>
          <reference field="2" count="1" selected="0">
            <x v="1"/>
          </reference>
        </references>
      </pivotArea>
    </chartFormat>
    <chartFormat chart="24" format="198">
      <pivotArea type="data" outline="0" fieldPosition="0">
        <references count="3">
          <reference field="4294967294" count="1" selected="0">
            <x v="0"/>
          </reference>
          <reference field="0" count="1" selected="0">
            <x v="34"/>
          </reference>
          <reference field="2" count="1" selected="0">
            <x v="1"/>
          </reference>
        </references>
      </pivotArea>
    </chartFormat>
    <chartFormat chart="24" format="199">
      <pivotArea type="data" outline="0" fieldPosition="0">
        <references count="3">
          <reference field="4294967294" count="1" selected="0">
            <x v="0"/>
          </reference>
          <reference field="0" count="1" selected="0">
            <x v="35"/>
          </reference>
          <reference field="2" count="1" selected="0">
            <x v="1"/>
          </reference>
        </references>
      </pivotArea>
    </chartFormat>
    <chartFormat chart="24" format="200">
      <pivotArea type="data" outline="0" fieldPosition="0">
        <references count="3">
          <reference field="4294967294" count="1" selected="0">
            <x v="0"/>
          </reference>
          <reference field="0" count="1" selected="0">
            <x v="36"/>
          </reference>
          <reference field="2" count="1" selected="0">
            <x v="1"/>
          </reference>
        </references>
      </pivotArea>
    </chartFormat>
    <chartFormat chart="24" format="201">
      <pivotArea type="data" outline="0" fieldPosition="0">
        <references count="3">
          <reference field="4294967294" count="1" selected="0">
            <x v="0"/>
          </reference>
          <reference field="0" count="1" selected="0">
            <x v="37"/>
          </reference>
          <reference field="2" count="1" selected="0">
            <x v="1"/>
          </reference>
        </references>
      </pivotArea>
    </chartFormat>
    <chartFormat chart="24" format="202">
      <pivotArea type="data" outline="0" fieldPosition="0">
        <references count="3">
          <reference field="4294967294" count="1" selected="0">
            <x v="0"/>
          </reference>
          <reference field="0" count="1" selected="0">
            <x v="38"/>
          </reference>
          <reference field="2" count="1" selected="0">
            <x v="1"/>
          </reference>
        </references>
      </pivotArea>
    </chartFormat>
    <chartFormat chart="24" format="203" series="1">
      <pivotArea type="data" outline="0" fieldPosition="0">
        <references count="2">
          <reference field="4294967294" count="1" selected="0">
            <x v="0"/>
          </reference>
          <reference field="2" count="1" selected="0">
            <x v="2"/>
          </reference>
        </references>
      </pivotArea>
    </chartFormat>
    <chartFormat chart="24" format="204">
      <pivotArea type="data" outline="0" fieldPosition="0">
        <references count="3">
          <reference field="4294967294" count="1" selected="0">
            <x v="0"/>
          </reference>
          <reference field="0" count="1" selected="0">
            <x v="0"/>
          </reference>
          <reference field="2" count="1" selected="0">
            <x v="2"/>
          </reference>
        </references>
      </pivotArea>
    </chartFormat>
    <chartFormat chart="24" format="205">
      <pivotArea type="data" outline="0" fieldPosition="0">
        <references count="3">
          <reference field="4294967294" count="1" selected="0">
            <x v="0"/>
          </reference>
          <reference field="0" count="1" selected="0">
            <x v="1"/>
          </reference>
          <reference field="2" count="1" selected="0">
            <x v="2"/>
          </reference>
        </references>
      </pivotArea>
    </chartFormat>
    <chartFormat chart="24" format="206">
      <pivotArea type="data" outline="0" fieldPosition="0">
        <references count="3">
          <reference field="4294967294" count="1" selected="0">
            <x v="0"/>
          </reference>
          <reference field="0" count="1" selected="0">
            <x v="2"/>
          </reference>
          <reference field="2" count="1" selected="0">
            <x v="2"/>
          </reference>
        </references>
      </pivotArea>
    </chartFormat>
    <chartFormat chart="24" format="207">
      <pivotArea type="data" outline="0" fieldPosition="0">
        <references count="3">
          <reference field="4294967294" count="1" selected="0">
            <x v="0"/>
          </reference>
          <reference field="0" count="1" selected="0">
            <x v="3"/>
          </reference>
          <reference field="2" count="1" selected="0">
            <x v="2"/>
          </reference>
        </references>
      </pivotArea>
    </chartFormat>
    <chartFormat chart="24" format="208">
      <pivotArea type="data" outline="0" fieldPosition="0">
        <references count="3">
          <reference field="4294967294" count="1" selected="0">
            <x v="0"/>
          </reference>
          <reference field="0" count="1" selected="0">
            <x v="4"/>
          </reference>
          <reference field="2" count="1" selected="0">
            <x v="2"/>
          </reference>
        </references>
      </pivotArea>
    </chartFormat>
    <chartFormat chart="24" format="209">
      <pivotArea type="data" outline="0" fieldPosition="0">
        <references count="3">
          <reference field="4294967294" count="1" selected="0">
            <x v="0"/>
          </reference>
          <reference field="0" count="1" selected="0">
            <x v="5"/>
          </reference>
          <reference field="2" count="1" selected="0">
            <x v="2"/>
          </reference>
        </references>
      </pivotArea>
    </chartFormat>
    <chartFormat chart="24" format="210">
      <pivotArea type="data" outline="0" fieldPosition="0">
        <references count="3">
          <reference field="4294967294" count="1" selected="0">
            <x v="0"/>
          </reference>
          <reference field="0" count="1" selected="0">
            <x v="6"/>
          </reference>
          <reference field="2" count="1" selected="0">
            <x v="2"/>
          </reference>
        </references>
      </pivotArea>
    </chartFormat>
    <chartFormat chart="24" format="211">
      <pivotArea type="data" outline="0" fieldPosition="0">
        <references count="3">
          <reference field="4294967294" count="1" selected="0">
            <x v="0"/>
          </reference>
          <reference field="0" count="1" selected="0">
            <x v="7"/>
          </reference>
          <reference field="2" count="1" selected="0">
            <x v="2"/>
          </reference>
        </references>
      </pivotArea>
    </chartFormat>
    <chartFormat chart="24" format="212">
      <pivotArea type="data" outline="0" fieldPosition="0">
        <references count="3">
          <reference field="4294967294" count="1" selected="0">
            <x v="0"/>
          </reference>
          <reference field="0" count="1" selected="0">
            <x v="8"/>
          </reference>
          <reference field="2" count="1" selected="0">
            <x v="2"/>
          </reference>
        </references>
      </pivotArea>
    </chartFormat>
    <chartFormat chart="24" format="213">
      <pivotArea type="data" outline="0" fieldPosition="0">
        <references count="3">
          <reference field="4294967294" count="1" selected="0">
            <x v="0"/>
          </reference>
          <reference field="0" count="1" selected="0">
            <x v="9"/>
          </reference>
          <reference field="2" count="1" selected="0">
            <x v="2"/>
          </reference>
        </references>
      </pivotArea>
    </chartFormat>
    <chartFormat chart="24" format="214">
      <pivotArea type="data" outline="0" fieldPosition="0">
        <references count="3">
          <reference field="4294967294" count="1" selected="0">
            <x v="0"/>
          </reference>
          <reference field="0" count="1" selected="0">
            <x v="10"/>
          </reference>
          <reference field="2" count="1" selected="0">
            <x v="2"/>
          </reference>
        </references>
      </pivotArea>
    </chartFormat>
    <chartFormat chart="24" format="215">
      <pivotArea type="data" outline="0" fieldPosition="0">
        <references count="3">
          <reference field="4294967294" count="1" selected="0">
            <x v="0"/>
          </reference>
          <reference field="0" count="1" selected="0">
            <x v="11"/>
          </reference>
          <reference field="2" count="1" selected="0">
            <x v="2"/>
          </reference>
        </references>
      </pivotArea>
    </chartFormat>
    <chartFormat chart="24" format="216">
      <pivotArea type="data" outline="0" fieldPosition="0">
        <references count="3">
          <reference field="4294967294" count="1" selected="0">
            <x v="0"/>
          </reference>
          <reference field="0" count="1" selected="0">
            <x v="12"/>
          </reference>
          <reference field="2" count="1" selected="0">
            <x v="2"/>
          </reference>
        </references>
      </pivotArea>
    </chartFormat>
    <chartFormat chart="24" format="217">
      <pivotArea type="data" outline="0" fieldPosition="0">
        <references count="3">
          <reference field="4294967294" count="1" selected="0">
            <x v="0"/>
          </reference>
          <reference field="0" count="1" selected="0">
            <x v="13"/>
          </reference>
          <reference field="2" count="1" selected="0">
            <x v="2"/>
          </reference>
        </references>
      </pivotArea>
    </chartFormat>
    <chartFormat chart="24" format="218">
      <pivotArea type="data" outline="0" fieldPosition="0">
        <references count="3">
          <reference field="4294967294" count="1" selected="0">
            <x v="0"/>
          </reference>
          <reference field="0" count="1" selected="0">
            <x v="14"/>
          </reference>
          <reference field="2" count="1" selected="0">
            <x v="2"/>
          </reference>
        </references>
      </pivotArea>
    </chartFormat>
    <chartFormat chart="24" format="219">
      <pivotArea type="data" outline="0" fieldPosition="0">
        <references count="3">
          <reference field="4294967294" count="1" selected="0">
            <x v="0"/>
          </reference>
          <reference field="0" count="1" selected="0">
            <x v="15"/>
          </reference>
          <reference field="2" count="1" selected="0">
            <x v="2"/>
          </reference>
        </references>
      </pivotArea>
    </chartFormat>
    <chartFormat chart="24" format="220">
      <pivotArea type="data" outline="0" fieldPosition="0">
        <references count="3">
          <reference field="4294967294" count="1" selected="0">
            <x v="0"/>
          </reference>
          <reference field="0" count="1" selected="0">
            <x v="16"/>
          </reference>
          <reference field="2" count="1" selected="0">
            <x v="2"/>
          </reference>
        </references>
      </pivotArea>
    </chartFormat>
    <chartFormat chart="24" format="221">
      <pivotArea type="data" outline="0" fieldPosition="0">
        <references count="3">
          <reference field="4294967294" count="1" selected="0">
            <x v="0"/>
          </reference>
          <reference field="0" count="1" selected="0">
            <x v="17"/>
          </reference>
          <reference field="2" count="1" selected="0">
            <x v="2"/>
          </reference>
        </references>
      </pivotArea>
    </chartFormat>
    <chartFormat chart="24" format="222">
      <pivotArea type="data" outline="0" fieldPosition="0">
        <references count="3">
          <reference field="4294967294" count="1" selected="0">
            <x v="0"/>
          </reference>
          <reference field="0" count="1" selected="0">
            <x v="18"/>
          </reference>
          <reference field="2" count="1" selected="0">
            <x v="2"/>
          </reference>
        </references>
      </pivotArea>
    </chartFormat>
    <chartFormat chart="24" format="223">
      <pivotArea type="data" outline="0" fieldPosition="0">
        <references count="3">
          <reference field="4294967294" count="1" selected="0">
            <x v="0"/>
          </reference>
          <reference field="0" count="1" selected="0">
            <x v="19"/>
          </reference>
          <reference field="2" count="1" selected="0">
            <x v="2"/>
          </reference>
        </references>
      </pivotArea>
    </chartFormat>
    <chartFormat chart="24" format="224">
      <pivotArea type="data" outline="0" fieldPosition="0">
        <references count="3">
          <reference field="4294967294" count="1" selected="0">
            <x v="0"/>
          </reference>
          <reference field="0" count="1" selected="0">
            <x v="20"/>
          </reference>
          <reference field="2" count="1" selected="0">
            <x v="2"/>
          </reference>
        </references>
      </pivotArea>
    </chartFormat>
    <chartFormat chart="24" format="225">
      <pivotArea type="data" outline="0" fieldPosition="0">
        <references count="3">
          <reference field="4294967294" count="1" selected="0">
            <x v="0"/>
          </reference>
          <reference field="0" count="1" selected="0">
            <x v="21"/>
          </reference>
          <reference field="2" count="1" selected="0">
            <x v="2"/>
          </reference>
        </references>
      </pivotArea>
    </chartFormat>
    <chartFormat chart="24" format="226">
      <pivotArea type="data" outline="0" fieldPosition="0">
        <references count="3">
          <reference field="4294967294" count="1" selected="0">
            <x v="0"/>
          </reference>
          <reference field="0" count="1" selected="0">
            <x v="22"/>
          </reference>
          <reference field="2" count="1" selected="0">
            <x v="2"/>
          </reference>
        </references>
      </pivotArea>
    </chartFormat>
    <chartFormat chart="24" format="227">
      <pivotArea type="data" outline="0" fieldPosition="0">
        <references count="3">
          <reference field="4294967294" count="1" selected="0">
            <x v="0"/>
          </reference>
          <reference field="0" count="1" selected="0">
            <x v="23"/>
          </reference>
          <reference field="2" count="1" selected="0">
            <x v="2"/>
          </reference>
        </references>
      </pivotArea>
    </chartFormat>
    <chartFormat chart="24" format="228">
      <pivotArea type="data" outline="0" fieldPosition="0">
        <references count="3">
          <reference field="4294967294" count="1" selected="0">
            <x v="0"/>
          </reference>
          <reference field="0" count="1" selected="0">
            <x v="24"/>
          </reference>
          <reference field="2" count="1" selected="0">
            <x v="2"/>
          </reference>
        </references>
      </pivotArea>
    </chartFormat>
    <chartFormat chart="24" format="229">
      <pivotArea type="data" outline="0" fieldPosition="0">
        <references count="3">
          <reference field="4294967294" count="1" selected="0">
            <x v="0"/>
          </reference>
          <reference field="0" count="1" selected="0">
            <x v="25"/>
          </reference>
          <reference field="2" count="1" selected="0">
            <x v="2"/>
          </reference>
        </references>
      </pivotArea>
    </chartFormat>
    <chartFormat chart="24" format="230">
      <pivotArea type="data" outline="0" fieldPosition="0">
        <references count="3">
          <reference field="4294967294" count="1" selected="0">
            <x v="0"/>
          </reference>
          <reference field="0" count="1" selected="0">
            <x v="26"/>
          </reference>
          <reference field="2" count="1" selected="0">
            <x v="2"/>
          </reference>
        </references>
      </pivotArea>
    </chartFormat>
    <chartFormat chart="24" format="231">
      <pivotArea type="data" outline="0" fieldPosition="0">
        <references count="3">
          <reference field="4294967294" count="1" selected="0">
            <x v="0"/>
          </reference>
          <reference field="0" count="1" selected="0">
            <x v="27"/>
          </reference>
          <reference field="2" count="1" selected="0">
            <x v="2"/>
          </reference>
        </references>
      </pivotArea>
    </chartFormat>
    <chartFormat chart="24" format="232">
      <pivotArea type="data" outline="0" fieldPosition="0">
        <references count="3">
          <reference field="4294967294" count="1" selected="0">
            <x v="0"/>
          </reference>
          <reference field="0" count="1" selected="0">
            <x v="28"/>
          </reference>
          <reference field="2" count="1" selected="0">
            <x v="2"/>
          </reference>
        </references>
      </pivotArea>
    </chartFormat>
    <chartFormat chart="24" format="233">
      <pivotArea type="data" outline="0" fieldPosition="0">
        <references count="3">
          <reference field="4294967294" count="1" selected="0">
            <x v="0"/>
          </reference>
          <reference field="0" count="1" selected="0">
            <x v="29"/>
          </reference>
          <reference field="2" count="1" selected="0">
            <x v="2"/>
          </reference>
        </references>
      </pivotArea>
    </chartFormat>
    <chartFormat chart="24" format="234">
      <pivotArea type="data" outline="0" fieldPosition="0">
        <references count="3">
          <reference field="4294967294" count="1" selected="0">
            <x v="0"/>
          </reference>
          <reference field="0" count="1" selected="0">
            <x v="30"/>
          </reference>
          <reference field="2" count="1" selected="0">
            <x v="2"/>
          </reference>
        </references>
      </pivotArea>
    </chartFormat>
    <chartFormat chart="24" format="235">
      <pivotArea type="data" outline="0" fieldPosition="0">
        <references count="3">
          <reference field="4294967294" count="1" selected="0">
            <x v="0"/>
          </reference>
          <reference field="0" count="1" selected="0">
            <x v="31"/>
          </reference>
          <reference field="2" count="1" selected="0">
            <x v="2"/>
          </reference>
        </references>
      </pivotArea>
    </chartFormat>
    <chartFormat chart="24" format="236">
      <pivotArea type="data" outline="0" fieldPosition="0">
        <references count="3">
          <reference field="4294967294" count="1" selected="0">
            <x v="0"/>
          </reference>
          <reference field="0" count="1" selected="0">
            <x v="32"/>
          </reference>
          <reference field="2" count="1" selected="0">
            <x v="2"/>
          </reference>
        </references>
      </pivotArea>
    </chartFormat>
    <chartFormat chart="24" format="237">
      <pivotArea type="data" outline="0" fieldPosition="0">
        <references count="3">
          <reference field="4294967294" count="1" selected="0">
            <x v="0"/>
          </reference>
          <reference field="0" count="1" selected="0">
            <x v="33"/>
          </reference>
          <reference field="2" count="1" selected="0">
            <x v="2"/>
          </reference>
        </references>
      </pivotArea>
    </chartFormat>
    <chartFormat chart="24" format="238">
      <pivotArea type="data" outline="0" fieldPosition="0">
        <references count="3">
          <reference field="4294967294" count="1" selected="0">
            <x v="0"/>
          </reference>
          <reference field="0" count="1" selected="0">
            <x v="34"/>
          </reference>
          <reference field="2" count="1" selected="0">
            <x v="2"/>
          </reference>
        </references>
      </pivotArea>
    </chartFormat>
    <chartFormat chart="24" format="239">
      <pivotArea type="data" outline="0" fieldPosition="0">
        <references count="3">
          <reference field="4294967294" count="1" selected="0">
            <x v="0"/>
          </reference>
          <reference field="0" count="1" selected="0">
            <x v="35"/>
          </reference>
          <reference field="2" count="1" selected="0">
            <x v="2"/>
          </reference>
        </references>
      </pivotArea>
    </chartFormat>
    <chartFormat chart="24" format="240">
      <pivotArea type="data" outline="0" fieldPosition="0">
        <references count="3">
          <reference field="4294967294" count="1" selected="0">
            <x v="0"/>
          </reference>
          <reference field="0" count="1" selected="0">
            <x v="36"/>
          </reference>
          <reference field="2" count="1" selected="0">
            <x v="2"/>
          </reference>
        </references>
      </pivotArea>
    </chartFormat>
    <chartFormat chart="24" format="241">
      <pivotArea type="data" outline="0" fieldPosition="0">
        <references count="3">
          <reference field="4294967294" count="1" selected="0">
            <x v="0"/>
          </reference>
          <reference field="0" count="1" selected="0">
            <x v="37"/>
          </reference>
          <reference field="2" count="1" selected="0">
            <x v="2"/>
          </reference>
        </references>
      </pivotArea>
    </chartFormat>
    <chartFormat chart="24" format="242">
      <pivotArea type="data" outline="0" fieldPosition="0">
        <references count="3">
          <reference field="4294967294" count="1" selected="0">
            <x v="0"/>
          </reference>
          <reference field="0" count="1" selected="0">
            <x v="38"/>
          </reference>
          <reference field="2" count="1" selected="0">
            <x v="2"/>
          </reference>
        </references>
      </pivotArea>
    </chartFormat>
    <chartFormat chart="25" format="0" series="1">
      <pivotArea type="data" outline="0" fieldPosition="0">
        <references count="2">
          <reference field="4294967294" count="1" selected="0">
            <x v="0"/>
          </reference>
          <reference field="2" count="1" selected="0">
            <x v="0"/>
          </reference>
        </references>
      </pivotArea>
    </chartFormat>
    <chartFormat chart="25" format="1" series="1">
      <pivotArea type="data" outline="0" fieldPosition="0">
        <references count="2">
          <reference field="4294967294" count="1" selected="0">
            <x v="0"/>
          </reference>
          <reference field="2" count="1" selected="0">
            <x v="1"/>
          </reference>
        </references>
      </pivotArea>
    </chartFormat>
    <chartFormat chart="25" format="2" series="1">
      <pivotArea type="data" outline="0" fieldPosition="0">
        <references count="2">
          <reference field="4294967294" count="1" selected="0">
            <x v="0"/>
          </reference>
          <reference field="2" count="1" selected="0">
            <x v="2"/>
          </reference>
        </references>
      </pivotArea>
    </chartFormat>
    <chartFormat chart="27" format="6" series="1">
      <pivotArea type="data" outline="0" fieldPosition="0">
        <references count="2">
          <reference field="4294967294" count="1" selected="0">
            <x v="0"/>
          </reference>
          <reference field="2" count="1" selected="0">
            <x v="0"/>
          </reference>
        </references>
      </pivotArea>
    </chartFormat>
    <chartFormat chart="27" format="7" series="1">
      <pivotArea type="data" outline="0" fieldPosition="0">
        <references count="2">
          <reference field="4294967294" count="1" selected="0">
            <x v="0"/>
          </reference>
          <reference field="2" count="1" selected="0">
            <x v="1"/>
          </reference>
        </references>
      </pivotArea>
    </chartFormat>
    <chartFormat chart="27"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5FDB8C-6B5A-4120-A469-909F4F04540C}" name="PivotTable1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E5:AH18" firstHeaderRow="0" firstDataRow="1" firstDataCol="1" rowPageCount="3" colPageCount="1"/>
  <pivotFields count="7">
    <pivotField axis="axisPage" showAll="0">
      <items count="22">
        <item x="7"/>
        <item x="3"/>
        <item x="11"/>
        <item x="13"/>
        <item x="1"/>
        <item x="15"/>
        <item x="12"/>
        <item x="17"/>
        <item x="6"/>
        <item x="20"/>
        <item x="19"/>
        <item x="16"/>
        <item x="18"/>
        <item x="5"/>
        <item x="8"/>
        <item x="0"/>
        <item x="14"/>
        <item x="9"/>
        <item x="2"/>
        <item x="10"/>
        <item x="4"/>
        <item t="default"/>
      </items>
    </pivotField>
    <pivotField axis="axisRow" showAll="0">
      <items count="13">
        <item x="10"/>
        <item x="11"/>
        <item x="0"/>
        <item x="1"/>
        <item x="2"/>
        <item x="3"/>
        <item x="4"/>
        <item x="5"/>
        <item x="6"/>
        <item x="7"/>
        <item x="8"/>
        <item x="9"/>
        <item t="default"/>
      </items>
    </pivotField>
    <pivotField axis="axisPage" showAll="0">
      <items count="22">
        <item x="17"/>
        <item x="6"/>
        <item x="0"/>
        <item x="3"/>
        <item x="5"/>
        <item x="2"/>
        <item x="15"/>
        <item x="18"/>
        <item x="7"/>
        <item x="4"/>
        <item x="14"/>
        <item x="9"/>
        <item x="13"/>
        <item x="11"/>
        <item x="1"/>
        <item x="12"/>
        <item x="16"/>
        <item x="8"/>
        <item x="19"/>
        <item x="10"/>
        <item x="20"/>
        <item t="default"/>
      </items>
    </pivotField>
    <pivotField axis="axisPage" showAll="0">
      <items count="40">
        <item x="17"/>
        <item x="0"/>
        <item x="27"/>
        <item x="25"/>
        <item x="31"/>
        <item x="24"/>
        <item x="33"/>
        <item x="15"/>
        <item x="6"/>
        <item x="37"/>
        <item x="35"/>
        <item x="20"/>
        <item x="14"/>
        <item x="12"/>
        <item x="9"/>
        <item x="18"/>
        <item x="10"/>
        <item x="19"/>
        <item x="7"/>
        <item x="38"/>
        <item x="34"/>
        <item x="28"/>
        <item x="29"/>
        <item x="32"/>
        <item x="16"/>
        <item x="2"/>
        <item x="22"/>
        <item x="36"/>
        <item x="11"/>
        <item x="3"/>
        <item x="26"/>
        <item x="4"/>
        <item x="8"/>
        <item x="30"/>
        <item x="1"/>
        <item x="23"/>
        <item x="5"/>
        <item x="13"/>
        <item x="21"/>
        <item t="default"/>
      </items>
    </pivotField>
    <pivotField dataField="1" showAll="0">
      <items count="41">
        <item x="36"/>
        <item x="10"/>
        <item x="13"/>
        <item x="8"/>
        <item x="25"/>
        <item x="29"/>
        <item x="31"/>
        <item x="39"/>
        <item x="16"/>
        <item x="28"/>
        <item x="17"/>
        <item x="4"/>
        <item x="20"/>
        <item x="15"/>
        <item x="21"/>
        <item x="35"/>
        <item x="32"/>
        <item x="14"/>
        <item x="30"/>
        <item x="27"/>
        <item x="0"/>
        <item x="26"/>
        <item x="33"/>
        <item x="11"/>
        <item x="19"/>
        <item x="22"/>
        <item x="3"/>
        <item x="5"/>
        <item x="1"/>
        <item x="6"/>
        <item x="38"/>
        <item x="12"/>
        <item x="2"/>
        <item x="37"/>
        <item x="34"/>
        <item x="23"/>
        <item x="24"/>
        <item x="9"/>
        <item x="18"/>
        <item x="7"/>
        <item t="default"/>
      </items>
    </pivotField>
    <pivotField dataField="1" showAll="0"/>
    <pivotField dataField="1" showAll="0">
      <items count="41">
        <item x="11"/>
        <item x="20"/>
        <item x="38"/>
        <item x="16"/>
        <item x="31"/>
        <item x="5"/>
        <item x="4"/>
        <item x="10"/>
        <item x="13"/>
        <item x="36"/>
        <item x="25"/>
        <item x="14"/>
        <item x="8"/>
        <item x="29"/>
        <item x="21"/>
        <item x="39"/>
        <item x="28"/>
        <item x="32"/>
        <item x="17"/>
        <item x="15"/>
        <item x="22"/>
        <item x="27"/>
        <item x="6"/>
        <item x="30"/>
        <item x="35"/>
        <item x="0"/>
        <item x="3"/>
        <item x="34"/>
        <item x="33"/>
        <item x="26"/>
        <item x="1"/>
        <item x="12"/>
        <item x="19"/>
        <item x="2"/>
        <item x="37"/>
        <item x="23"/>
        <item x="9"/>
        <item x="24"/>
        <item x="7"/>
        <item x="18"/>
        <item t="default"/>
      </items>
    </pivotField>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pageFields count="3">
    <pageField fld="0" hier="-1"/>
    <pageField fld="2" hier="-1"/>
    <pageField fld="3" hier="-1"/>
  </pageFields>
  <dataFields count="3">
    <dataField name="Sum of Sales" fld="4" baseField="0" baseItem="0"/>
    <dataField name="Sum of Quantity" fld="5" baseField="0" baseItem="0"/>
    <dataField name="Sum of Profit" fld="6" baseField="0" baseItem="0"/>
  </dataFields>
  <chartFormats count="10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 count="1" selected="0">
            <x v="0"/>
          </reference>
        </references>
      </pivotArea>
    </chartFormat>
    <chartFormat chart="5" format="5">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2">
          <reference field="4294967294" count="1" selected="0">
            <x v="0"/>
          </reference>
          <reference field="1" count="1" selected="0">
            <x v="2"/>
          </reference>
        </references>
      </pivotArea>
    </chartFormat>
    <chartFormat chart="5" format="7">
      <pivotArea type="data" outline="0" fieldPosition="0">
        <references count="2">
          <reference field="4294967294" count="1" selected="0">
            <x v="0"/>
          </reference>
          <reference field="1" count="1" selected="0">
            <x v="3"/>
          </reference>
        </references>
      </pivotArea>
    </chartFormat>
    <chartFormat chart="5" format="8">
      <pivotArea type="data" outline="0" fieldPosition="0">
        <references count="2">
          <reference field="4294967294" count="1" selected="0">
            <x v="0"/>
          </reference>
          <reference field="1" count="1" selected="0">
            <x v="4"/>
          </reference>
        </references>
      </pivotArea>
    </chartFormat>
    <chartFormat chart="5" format="9">
      <pivotArea type="data" outline="0" fieldPosition="0">
        <references count="2">
          <reference field="4294967294" count="1" selected="0">
            <x v="0"/>
          </reference>
          <reference field="1" count="1" selected="0">
            <x v="5"/>
          </reference>
        </references>
      </pivotArea>
    </chartFormat>
    <chartFormat chart="5" format="10">
      <pivotArea type="data" outline="0" fieldPosition="0">
        <references count="2">
          <reference field="4294967294" count="1" selected="0">
            <x v="0"/>
          </reference>
          <reference field="1" count="1" selected="0">
            <x v="6"/>
          </reference>
        </references>
      </pivotArea>
    </chartFormat>
    <chartFormat chart="5" format="11">
      <pivotArea type="data" outline="0" fieldPosition="0">
        <references count="2">
          <reference field="4294967294" count="1" selected="0">
            <x v="0"/>
          </reference>
          <reference field="1" count="1" selected="0">
            <x v="7"/>
          </reference>
        </references>
      </pivotArea>
    </chartFormat>
    <chartFormat chart="5" format="12">
      <pivotArea type="data" outline="0" fieldPosition="0">
        <references count="2">
          <reference field="4294967294" count="1" selected="0">
            <x v="0"/>
          </reference>
          <reference field="1" count="1" selected="0">
            <x v="8"/>
          </reference>
        </references>
      </pivotArea>
    </chartFormat>
    <chartFormat chart="5" format="13">
      <pivotArea type="data" outline="0" fieldPosition="0">
        <references count="2">
          <reference field="4294967294" count="1" selected="0">
            <x v="0"/>
          </reference>
          <reference field="1" count="1" selected="0">
            <x v="9"/>
          </reference>
        </references>
      </pivotArea>
    </chartFormat>
    <chartFormat chart="5" format="14">
      <pivotArea type="data" outline="0" fieldPosition="0">
        <references count="2">
          <reference field="4294967294" count="1" selected="0">
            <x v="0"/>
          </reference>
          <reference field="1" count="1" selected="0">
            <x v="10"/>
          </reference>
        </references>
      </pivotArea>
    </chartFormat>
    <chartFormat chart="5" format="15">
      <pivotArea type="data" outline="0" fieldPosition="0">
        <references count="2">
          <reference field="4294967294" count="1" selected="0">
            <x v="0"/>
          </reference>
          <reference field="1" count="1" selected="0">
            <x v="11"/>
          </reference>
        </references>
      </pivotArea>
    </chartFormat>
    <chartFormat chart="5" format="16" series="1">
      <pivotArea type="data" outline="0" fieldPosition="0">
        <references count="1">
          <reference field="4294967294" count="1" selected="0">
            <x v="1"/>
          </reference>
        </references>
      </pivotArea>
    </chartFormat>
    <chartFormat chart="5" format="17">
      <pivotArea type="data" outline="0" fieldPosition="0">
        <references count="2">
          <reference field="4294967294" count="1" selected="0">
            <x v="1"/>
          </reference>
          <reference field="1" count="1" selected="0">
            <x v="0"/>
          </reference>
        </references>
      </pivotArea>
    </chartFormat>
    <chartFormat chart="5" format="18">
      <pivotArea type="data" outline="0" fieldPosition="0">
        <references count="2">
          <reference field="4294967294" count="1" selected="0">
            <x v="1"/>
          </reference>
          <reference field="1" count="1" selected="0">
            <x v="1"/>
          </reference>
        </references>
      </pivotArea>
    </chartFormat>
    <chartFormat chart="5" format="19">
      <pivotArea type="data" outline="0" fieldPosition="0">
        <references count="2">
          <reference field="4294967294" count="1" selected="0">
            <x v="1"/>
          </reference>
          <reference field="1" count="1" selected="0">
            <x v="2"/>
          </reference>
        </references>
      </pivotArea>
    </chartFormat>
    <chartFormat chart="5" format="20">
      <pivotArea type="data" outline="0" fieldPosition="0">
        <references count="2">
          <reference field="4294967294" count="1" selected="0">
            <x v="1"/>
          </reference>
          <reference field="1" count="1" selected="0">
            <x v="3"/>
          </reference>
        </references>
      </pivotArea>
    </chartFormat>
    <chartFormat chart="5" format="21">
      <pivotArea type="data" outline="0" fieldPosition="0">
        <references count="2">
          <reference field="4294967294" count="1" selected="0">
            <x v="1"/>
          </reference>
          <reference field="1" count="1" selected="0">
            <x v="4"/>
          </reference>
        </references>
      </pivotArea>
    </chartFormat>
    <chartFormat chart="5" format="22">
      <pivotArea type="data" outline="0" fieldPosition="0">
        <references count="2">
          <reference field="4294967294" count="1" selected="0">
            <x v="1"/>
          </reference>
          <reference field="1" count="1" selected="0">
            <x v="5"/>
          </reference>
        </references>
      </pivotArea>
    </chartFormat>
    <chartFormat chart="5" format="23">
      <pivotArea type="data" outline="0" fieldPosition="0">
        <references count="2">
          <reference field="4294967294" count="1" selected="0">
            <x v="1"/>
          </reference>
          <reference field="1" count="1" selected="0">
            <x v="6"/>
          </reference>
        </references>
      </pivotArea>
    </chartFormat>
    <chartFormat chart="5" format="24">
      <pivotArea type="data" outline="0" fieldPosition="0">
        <references count="2">
          <reference field="4294967294" count="1" selected="0">
            <x v="1"/>
          </reference>
          <reference field="1" count="1" selected="0">
            <x v="7"/>
          </reference>
        </references>
      </pivotArea>
    </chartFormat>
    <chartFormat chart="5" format="25">
      <pivotArea type="data" outline="0" fieldPosition="0">
        <references count="2">
          <reference field="4294967294" count="1" selected="0">
            <x v="1"/>
          </reference>
          <reference field="1" count="1" selected="0">
            <x v="8"/>
          </reference>
        </references>
      </pivotArea>
    </chartFormat>
    <chartFormat chart="5" format="26">
      <pivotArea type="data" outline="0" fieldPosition="0">
        <references count="2">
          <reference field="4294967294" count="1" selected="0">
            <x v="1"/>
          </reference>
          <reference field="1" count="1" selected="0">
            <x v="9"/>
          </reference>
        </references>
      </pivotArea>
    </chartFormat>
    <chartFormat chart="5" format="27">
      <pivotArea type="data" outline="0" fieldPosition="0">
        <references count="2">
          <reference field="4294967294" count="1" selected="0">
            <x v="1"/>
          </reference>
          <reference field="1" count="1" selected="0">
            <x v="10"/>
          </reference>
        </references>
      </pivotArea>
    </chartFormat>
    <chartFormat chart="5" format="28">
      <pivotArea type="data" outline="0" fieldPosition="0">
        <references count="2">
          <reference field="4294967294" count="1" selected="0">
            <x v="1"/>
          </reference>
          <reference field="1" count="1" selected="0">
            <x v="11"/>
          </reference>
        </references>
      </pivotArea>
    </chartFormat>
    <chartFormat chart="5" format="29" series="1">
      <pivotArea type="data" outline="0" fieldPosition="0">
        <references count="1">
          <reference field="4294967294" count="1" selected="0">
            <x v="2"/>
          </reference>
        </references>
      </pivotArea>
    </chartFormat>
    <chartFormat chart="5" format="30">
      <pivotArea type="data" outline="0" fieldPosition="0">
        <references count="2">
          <reference field="4294967294" count="1" selected="0">
            <x v="2"/>
          </reference>
          <reference field="1" count="1" selected="0">
            <x v="0"/>
          </reference>
        </references>
      </pivotArea>
    </chartFormat>
    <chartFormat chart="5" format="31">
      <pivotArea type="data" outline="0" fieldPosition="0">
        <references count="2">
          <reference field="4294967294" count="1" selected="0">
            <x v="2"/>
          </reference>
          <reference field="1" count="1" selected="0">
            <x v="1"/>
          </reference>
        </references>
      </pivotArea>
    </chartFormat>
    <chartFormat chart="5" format="32">
      <pivotArea type="data" outline="0" fieldPosition="0">
        <references count="2">
          <reference field="4294967294" count="1" selected="0">
            <x v="2"/>
          </reference>
          <reference field="1" count="1" selected="0">
            <x v="2"/>
          </reference>
        </references>
      </pivotArea>
    </chartFormat>
    <chartFormat chart="5" format="33">
      <pivotArea type="data" outline="0" fieldPosition="0">
        <references count="2">
          <reference field="4294967294" count="1" selected="0">
            <x v="2"/>
          </reference>
          <reference field="1" count="1" selected="0">
            <x v="3"/>
          </reference>
        </references>
      </pivotArea>
    </chartFormat>
    <chartFormat chart="5" format="34">
      <pivotArea type="data" outline="0" fieldPosition="0">
        <references count="2">
          <reference field="4294967294" count="1" selected="0">
            <x v="2"/>
          </reference>
          <reference field="1" count="1" selected="0">
            <x v="4"/>
          </reference>
        </references>
      </pivotArea>
    </chartFormat>
    <chartFormat chart="5" format="35">
      <pivotArea type="data" outline="0" fieldPosition="0">
        <references count="2">
          <reference field="4294967294" count="1" selected="0">
            <x v="2"/>
          </reference>
          <reference field="1" count="1" selected="0">
            <x v="5"/>
          </reference>
        </references>
      </pivotArea>
    </chartFormat>
    <chartFormat chart="5" format="36">
      <pivotArea type="data" outline="0" fieldPosition="0">
        <references count="2">
          <reference field="4294967294" count="1" selected="0">
            <x v="2"/>
          </reference>
          <reference field="1" count="1" selected="0">
            <x v="6"/>
          </reference>
        </references>
      </pivotArea>
    </chartFormat>
    <chartFormat chart="5" format="37">
      <pivotArea type="data" outline="0" fieldPosition="0">
        <references count="2">
          <reference field="4294967294" count="1" selected="0">
            <x v="2"/>
          </reference>
          <reference field="1" count="1" selected="0">
            <x v="7"/>
          </reference>
        </references>
      </pivotArea>
    </chartFormat>
    <chartFormat chart="5" format="38">
      <pivotArea type="data" outline="0" fieldPosition="0">
        <references count="2">
          <reference field="4294967294" count="1" selected="0">
            <x v="2"/>
          </reference>
          <reference field="1" count="1" selected="0">
            <x v="8"/>
          </reference>
        </references>
      </pivotArea>
    </chartFormat>
    <chartFormat chart="5" format="39">
      <pivotArea type="data" outline="0" fieldPosition="0">
        <references count="2">
          <reference field="4294967294" count="1" selected="0">
            <x v="2"/>
          </reference>
          <reference field="1" count="1" selected="0">
            <x v="9"/>
          </reference>
        </references>
      </pivotArea>
    </chartFormat>
    <chartFormat chart="5" format="40">
      <pivotArea type="data" outline="0" fieldPosition="0">
        <references count="2">
          <reference field="4294967294" count="1" selected="0">
            <x v="2"/>
          </reference>
          <reference field="1" count="1" selected="0">
            <x v="10"/>
          </reference>
        </references>
      </pivotArea>
    </chartFormat>
    <chartFormat chart="5" format="41">
      <pivotArea type="data" outline="0" fieldPosition="0">
        <references count="2">
          <reference field="4294967294" count="1" selected="0">
            <x v="2"/>
          </reference>
          <reference field="1" count="1" selected="0">
            <x v="11"/>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1" format="6">
      <pivotArea type="data" outline="0" fieldPosition="0">
        <references count="2">
          <reference field="4294967294" count="1" selected="0">
            <x v="0"/>
          </reference>
          <reference field="1" count="1" selected="0">
            <x v="3"/>
          </reference>
        </references>
      </pivotArea>
    </chartFormat>
    <chartFormat chart="1" format="7">
      <pivotArea type="data" outline="0" fieldPosition="0">
        <references count="2">
          <reference field="4294967294" count="1" selected="0">
            <x v="0"/>
          </reference>
          <reference field="1" count="1" selected="0">
            <x v="4"/>
          </reference>
        </references>
      </pivotArea>
    </chartFormat>
    <chartFormat chart="1" format="8">
      <pivotArea type="data" outline="0" fieldPosition="0">
        <references count="2">
          <reference field="4294967294" count="1" selected="0">
            <x v="0"/>
          </reference>
          <reference field="1" count="1" selected="0">
            <x v="5"/>
          </reference>
        </references>
      </pivotArea>
    </chartFormat>
    <chartFormat chart="1" format="9">
      <pivotArea type="data" outline="0" fieldPosition="0">
        <references count="2">
          <reference field="4294967294" count="1" selected="0">
            <x v="0"/>
          </reference>
          <reference field="1" count="1" selected="0">
            <x v="6"/>
          </reference>
        </references>
      </pivotArea>
    </chartFormat>
    <chartFormat chart="1" format="10">
      <pivotArea type="data" outline="0" fieldPosition="0">
        <references count="2">
          <reference field="4294967294" count="1" selected="0">
            <x v="0"/>
          </reference>
          <reference field="1" count="1" selected="0">
            <x v="7"/>
          </reference>
        </references>
      </pivotArea>
    </chartFormat>
    <chartFormat chart="1" format="11">
      <pivotArea type="data" outline="0" fieldPosition="0">
        <references count="2">
          <reference field="4294967294" count="1" selected="0">
            <x v="0"/>
          </reference>
          <reference field="1" count="1" selected="0">
            <x v="8"/>
          </reference>
        </references>
      </pivotArea>
    </chartFormat>
    <chartFormat chart="1" format="12">
      <pivotArea type="data" outline="0" fieldPosition="0">
        <references count="2">
          <reference field="4294967294" count="1" selected="0">
            <x v="0"/>
          </reference>
          <reference field="1" count="1" selected="0">
            <x v="9"/>
          </reference>
        </references>
      </pivotArea>
    </chartFormat>
    <chartFormat chart="1" format="13">
      <pivotArea type="data" outline="0" fieldPosition="0">
        <references count="2">
          <reference field="4294967294" count="1" selected="0">
            <x v="0"/>
          </reference>
          <reference field="1" count="1" selected="0">
            <x v="10"/>
          </reference>
        </references>
      </pivotArea>
    </chartFormat>
    <chartFormat chart="1" format="14">
      <pivotArea type="data" outline="0" fieldPosition="0">
        <references count="2">
          <reference field="4294967294" count="1" selected="0">
            <x v="0"/>
          </reference>
          <reference field="1" count="1" selected="0">
            <x v="11"/>
          </reference>
        </references>
      </pivotArea>
    </chartFormat>
    <chartFormat chart="1" format="15">
      <pivotArea type="data" outline="0" fieldPosition="0">
        <references count="2">
          <reference field="4294967294" count="1" selected="0">
            <x v="1"/>
          </reference>
          <reference field="1" count="1" selected="0">
            <x v="0"/>
          </reference>
        </references>
      </pivotArea>
    </chartFormat>
    <chartFormat chart="1" format="16">
      <pivotArea type="data" outline="0" fieldPosition="0">
        <references count="2">
          <reference field="4294967294" count="1" selected="0">
            <x v="1"/>
          </reference>
          <reference field="1" count="1" selected="0">
            <x v="1"/>
          </reference>
        </references>
      </pivotArea>
    </chartFormat>
    <chartFormat chart="1" format="17">
      <pivotArea type="data" outline="0" fieldPosition="0">
        <references count="2">
          <reference field="4294967294" count="1" selected="0">
            <x v="1"/>
          </reference>
          <reference field="1" count="1" selected="0">
            <x v="2"/>
          </reference>
        </references>
      </pivotArea>
    </chartFormat>
    <chartFormat chart="1" format="18">
      <pivotArea type="data" outline="0" fieldPosition="0">
        <references count="2">
          <reference field="4294967294" count="1" selected="0">
            <x v="1"/>
          </reference>
          <reference field="1" count="1" selected="0">
            <x v="3"/>
          </reference>
        </references>
      </pivotArea>
    </chartFormat>
    <chartFormat chart="1" format="19">
      <pivotArea type="data" outline="0" fieldPosition="0">
        <references count="2">
          <reference field="4294967294" count="1" selected="0">
            <x v="1"/>
          </reference>
          <reference field="1" count="1" selected="0">
            <x v="4"/>
          </reference>
        </references>
      </pivotArea>
    </chartFormat>
    <chartFormat chart="1" format="20">
      <pivotArea type="data" outline="0" fieldPosition="0">
        <references count="2">
          <reference field="4294967294" count="1" selected="0">
            <x v="1"/>
          </reference>
          <reference field="1" count="1" selected="0">
            <x v="5"/>
          </reference>
        </references>
      </pivotArea>
    </chartFormat>
    <chartFormat chart="1" format="21">
      <pivotArea type="data" outline="0" fieldPosition="0">
        <references count="2">
          <reference field="4294967294" count="1" selected="0">
            <x v="1"/>
          </reference>
          <reference field="1" count="1" selected="0">
            <x v="6"/>
          </reference>
        </references>
      </pivotArea>
    </chartFormat>
    <chartFormat chart="1" format="22">
      <pivotArea type="data" outline="0" fieldPosition="0">
        <references count="2">
          <reference field="4294967294" count="1" selected="0">
            <x v="1"/>
          </reference>
          <reference field="1" count="1" selected="0">
            <x v="7"/>
          </reference>
        </references>
      </pivotArea>
    </chartFormat>
    <chartFormat chart="1" format="23">
      <pivotArea type="data" outline="0" fieldPosition="0">
        <references count="2">
          <reference field="4294967294" count="1" selected="0">
            <x v="1"/>
          </reference>
          <reference field="1" count="1" selected="0">
            <x v="8"/>
          </reference>
        </references>
      </pivotArea>
    </chartFormat>
    <chartFormat chart="1" format="24">
      <pivotArea type="data" outline="0" fieldPosition="0">
        <references count="2">
          <reference field="4294967294" count="1" selected="0">
            <x v="1"/>
          </reference>
          <reference field="1" count="1" selected="0">
            <x v="9"/>
          </reference>
        </references>
      </pivotArea>
    </chartFormat>
    <chartFormat chart="1" format="25">
      <pivotArea type="data" outline="0" fieldPosition="0">
        <references count="2">
          <reference field="4294967294" count="1" selected="0">
            <x v="1"/>
          </reference>
          <reference field="1" count="1" selected="0">
            <x v="10"/>
          </reference>
        </references>
      </pivotArea>
    </chartFormat>
    <chartFormat chart="1" format="26">
      <pivotArea type="data" outline="0" fieldPosition="0">
        <references count="2">
          <reference field="4294967294" count="1" selected="0">
            <x v="1"/>
          </reference>
          <reference field="1" count="1" selected="0">
            <x v="11"/>
          </reference>
        </references>
      </pivotArea>
    </chartFormat>
    <chartFormat chart="1" format="27">
      <pivotArea type="data" outline="0" fieldPosition="0">
        <references count="2">
          <reference field="4294967294" count="1" selected="0">
            <x v="2"/>
          </reference>
          <reference field="1" count="1" selected="0">
            <x v="0"/>
          </reference>
        </references>
      </pivotArea>
    </chartFormat>
    <chartFormat chart="1" format="28">
      <pivotArea type="data" outline="0" fieldPosition="0">
        <references count="2">
          <reference field="4294967294" count="1" selected="0">
            <x v="2"/>
          </reference>
          <reference field="1" count="1" selected="0">
            <x v="1"/>
          </reference>
        </references>
      </pivotArea>
    </chartFormat>
    <chartFormat chart="1" format="29">
      <pivotArea type="data" outline="0" fieldPosition="0">
        <references count="2">
          <reference field="4294967294" count="1" selected="0">
            <x v="2"/>
          </reference>
          <reference field="1" count="1" selected="0">
            <x v="2"/>
          </reference>
        </references>
      </pivotArea>
    </chartFormat>
    <chartFormat chart="1" format="30">
      <pivotArea type="data" outline="0" fieldPosition="0">
        <references count="2">
          <reference field="4294967294" count="1" selected="0">
            <x v="2"/>
          </reference>
          <reference field="1" count="1" selected="0">
            <x v="3"/>
          </reference>
        </references>
      </pivotArea>
    </chartFormat>
    <chartFormat chart="1" format="31">
      <pivotArea type="data" outline="0" fieldPosition="0">
        <references count="2">
          <reference field="4294967294" count="1" selected="0">
            <x v="2"/>
          </reference>
          <reference field="1" count="1" selected="0">
            <x v="4"/>
          </reference>
        </references>
      </pivotArea>
    </chartFormat>
    <chartFormat chart="1" format="32">
      <pivotArea type="data" outline="0" fieldPosition="0">
        <references count="2">
          <reference field="4294967294" count="1" selected="0">
            <x v="2"/>
          </reference>
          <reference field="1" count="1" selected="0">
            <x v="5"/>
          </reference>
        </references>
      </pivotArea>
    </chartFormat>
    <chartFormat chart="1" format="33">
      <pivotArea type="data" outline="0" fieldPosition="0">
        <references count="2">
          <reference field="4294967294" count="1" selected="0">
            <x v="2"/>
          </reference>
          <reference field="1" count="1" selected="0">
            <x v="6"/>
          </reference>
        </references>
      </pivotArea>
    </chartFormat>
    <chartFormat chart="1" format="34">
      <pivotArea type="data" outline="0" fieldPosition="0">
        <references count="2">
          <reference field="4294967294" count="1" selected="0">
            <x v="2"/>
          </reference>
          <reference field="1" count="1" selected="0">
            <x v="7"/>
          </reference>
        </references>
      </pivotArea>
    </chartFormat>
    <chartFormat chart="1" format="35">
      <pivotArea type="data" outline="0" fieldPosition="0">
        <references count="2">
          <reference field="4294967294" count="1" selected="0">
            <x v="2"/>
          </reference>
          <reference field="1" count="1" selected="0">
            <x v="8"/>
          </reference>
        </references>
      </pivotArea>
    </chartFormat>
    <chartFormat chart="1" format="36">
      <pivotArea type="data" outline="0" fieldPosition="0">
        <references count="2">
          <reference field="4294967294" count="1" selected="0">
            <x v="2"/>
          </reference>
          <reference field="1" count="1" selected="0">
            <x v="9"/>
          </reference>
        </references>
      </pivotArea>
    </chartFormat>
    <chartFormat chart="1" format="37">
      <pivotArea type="data" outline="0" fieldPosition="0">
        <references count="2">
          <reference field="4294967294" count="1" selected="0">
            <x v="2"/>
          </reference>
          <reference field="1" count="1" selected="0">
            <x v="10"/>
          </reference>
        </references>
      </pivotArea>
    </chartFormat>
    <chartFormat chart="1" format="38">
      <pivotArea type="data" outline="0" fieldPosition="0">
        <references count="2">
          <reference field="4294967294" count="1" selected="0">
            <x v="2"/>
          </reference>
          <reference field="1" count="1" selected="0">
            <x v="1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2"/>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2"/>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 chart="38" format="6" series="1">
      <pivotArea type="data" outline="0" fieldPosition="0">
        <references count="1">
          <reference field="4294967294" count="1" selected="0">
            <x v="0"/>
          </reference>
        </references>
      </pivotArea>
    </chartFormat>
    <chartFormat chart="38" format="7"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2"/>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3" format="2" series="1">
      <pivotArea type="data" outline="0" fieldPosition="0">
        <references count="1">
          <reference field="4294967294" count="1" selected="0">
            <x v="2"/>
          </reference>
        </references>
      </pivotArea>
    </chartFormat>
    <chartFormat chart="45" format="6" series="1">
      <pivotArea type="data" outline="0" fieldPosition="0">
        <references count="1">
          <reference field="4294967294" count="1" selected="0">
            <x v="0"/>
          </reference>
        </references>
      </pivotArea>
    </chartFormat>
    <chartFormat chart="45" format="7" series="1">
      <pivotArea type="data" outline="0" fieldPosition="0">
        <references count="1">
          <reference field="4294967294" count="1" selected="0">
            <x v="1"/>
          </reference>
        </references>
      </pivotArea>
    </chartFormat>
    <chartFormat chart="4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30FC64-9084-43EB-BE73-4DADD397E729}" name="PivotTable1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Z3:AA34" firstHeaderRow="1" firstDataRow="1" firstDataCol="1" rowPageCount="1" colPageCount="1"/>
  <pivotFields count="3">
    <pivotField axis="axisRow" showAll="0">
      <items count="31">
        <item x="17"/>
        <item x="0"/>
        <item x="27"/>
        <item x="25"/>
        <item x="24"/>
        <item x="15"/>
        <item x="6"/>
        <item x="20"/>
        <item x="14"/>
        <item x="12"/>
        <item x="9"/>
        <item x="18"/>
        <item x="10"/>
        <item x="19"/>
        <item x="7"/>
        <item x="28"/>
        <item x="29"/>
        <item x="16"/>
        <item x="2"/>
        <item x="22"/>
        <item x="11"/>
        <item x="3"/>
        <item x="26"/>
        <item x="4"/>
        <item x="8"/>
        <item x="1"/>
        <item x="23"/>
        <item x="5"/>
        <item x="13"/>
        <item x="21"/>
        <item t="default"/>
      </items>
    </pivotField>
    <pivotField dataField="1" showAll="0">
      <items count="31">
        <item x="23"/>
        <item x="27"/>
        <item x="9"/>
        <item x="15"/>
        <item x="28"/>
        <item x="14"/>
        <item x="4"/>
        <item x="5"/>
        <item x="29"/>
        <item x="2"/>
        <item x="24"/>
        <item x="22"/>
        <item x="17"/>
        <item x="13"/>
        <item x="6"/>
        <item x="3"/>
        <item x="18"/>
        <item x="19"/>
        <item x="0"/>
        <item x="20"/>
        <item x="1"/>
        <item x="12"/>
        <item x="10"/>
        <item x="8"/>
        <item x="26"/>
        <item x="25"/>
        <item x="7"/>
        <item x="16"/>
        <item x="11"/>
        <item x="21"/>
        <item t="default"/>
      </items>
    </pivotField>
    <pivotField axis="axisPage" showAll="0">
      <items count="28">
        <item x="3"/>
        <item x="24"/>
        <item x="26"/>
        <item x="0"/>
        <item x="11"/>
        <item x="15"/>
        <item x="2"/>
        <item x="22"/>
        <item x="4"/>
        <item x="9"/>
        <item x="7"/>
        <item x="1"/>
        <item x="16"/>
        <item x="13"/>
        <item x="5"/>
        <item x="10"/>
        <item x="21"/>
        <item x="17"/>
        <item x="18"/>
        <item x="25"/>
        <item x="19"/>
        <item x="20"/>
        <item x="8"/>
        <item x="14"/>
        <item x="12"/>
        <item x="6"/>
        <item x="23"/>
        <item t="default"/>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pageFields count="1">
    <pageField fld="2" hier="-1"/>
  </pageFields>
  <dataFields count="1">
    <dataField name="Sum of Reorder_Level" fld="1" baseField="0" baseItem="0"/>
  </dataField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29"/>
          </reference>
        </references>
      </pivotArea>
    </chartFormat>
    <chartFormat chart="17" format="3"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041178-26B5-4AFD-8662-D20B4078B214}" name="PivotTable1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B4:AD17" firstHeaderRow="0" firstDataRow="1" firstDataCol="1" rowPageCount="2" colPageCount="1"/>
  <pivotFields count="5">
    <pivotField axis="axisRow" numFmtId="17"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ataField="1" showAll="0">
      <items count="33">
        <item x="0"/>
        <item x="1"/>
        <item x="2"/>
        <item x="12"/>
        <item x="3"/>
        <item x="4"/>
        <item x="15"/>
        <item x="5"/>
        <item x="16"/>
        <item x="6"/>
        <item x="17"/>
        <item x="7"/>
        <item x="18"/>
        <item x="8"/>
        <item x="19"/>
        <item x="9"/>
        <item x="20"/>
        <item x="10"/>
        <item x="21"/>
        <item x="11"/>
        <item x="22"/>
        <item x="13"/>
        <item x="23"/>
        <item x="14"/>
        <item x="24"/>
        <item x="27"/>
        <item x="25"/>
        <item x="28"/>
        <item x="26"/>
        <item x="29"/>
        <item x="30"/>
        <item x="31"/>
        <item t="default"/>
      </items>
    </pivotField>
    <pivotField axis="axisRow" dataField="1" showAll="0">
      <items count="15">
        <item sd="0" x="0"/>
        <item sd="0" x="1"/>
        <item sd="0" x="2"/>
        <item sd="0" x="3"/>
        <item sd="0" x="4"/>
        <item sd="0" x="5"/>
        <item sd="0" x="6"/>
        <item sd="0" x="7"/>
        <item sd="0" x="8"/>
        <item sd="0" x="9"/>
        <item sd="0" x="10"/>
        <item sd="0" x="11"/>
        <item sd="0" x="12"/>
        <item sd="0" x="13"/>
        <item t="default"/>
      </items>
    </pivotField>
    <pivotField axis="axisPage" showAll="0">
      <items count="7">
        <item sd="0" x="0"/>
        <item sd="0" x="1"/>
        <item sd="0" x="2"/>
        <item sd="0" x="3"/>
        <item sd="0" x="4"/>
        <item sd="0" x="5"/>
        <item t="default"/>
      </items>
    </pivotField>
    <pivotField axis="axisPage" showAll="0">
      <items count="8">
        <item sd="0" x="0"/>
        <item sd="0" x="1"/>
        <item sd="0" x="2"/>
        <item sd="0" x="3"/>
        <item sd="0" x="4"/>
        <item sd="0" x="5"/>
        <item sd="0" x="6"/>
        <item t="default"/>
      </items>
    </pivotField>
  </pivotFields>
  <rowFields count="2">
    <field x="2"/>
    <field x="0"/>
  </rowFields>
  <rowItems count="13">
    <i>
      <x v="1"/>
    </i>
    <i>
      <x v="2"/>
    </i>
    <i>
      <x v="3"/>
    </i>
    <i>
      <x v="4"/>
    </i>
    <i>
      <x v="5"/>
    </i>
    <i>
      <x v="6"/>
    </i>
    <i>
      <x v="7"/>
    </i>
    <i>
      <x v="8"/>
    </i>
    <i>
      <x v="9"/>
    </i>
    <i>
      <x v="10"/>
    </i>
    <i>
      <x v="11"/>
    </i>
    <i>
      <x v="12"/>
    </i>
    <i t="grand">
      <x/>
    </i>
  </rowItems>
  <colFields count="1">
    <field x="-2"/>
  </colFields>
  <colItems count="2">
    <i>
      <x/>
    </i>
    <i i="1">
      <x v="1"/>
    </i>
  </colItems>
  <pageFields count="2">
    <pageField fld="3" hier="-1"/>
    <pageField fld="4" hier="-1"/>
  </pageFields>
  <dataFields count="2">
    <dataField name="Sum of Target Sales" fld="1" baseField="0" baseItem="0"/>
    <dataField name="Count of Months (Month)" fld="2" subtotal="count" baseField="0" baseItem="0"/>
  </dataField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B048F195-78E6-4407-833B-95F21D625921}" sourceName="Order ID">
  <data>
    <tabular pivotCacheId="817376204">
      <items count="21">
        <i x="7" s="1"/>
        <i x="3" s="1"/>
        <i x="11" s="1"/>
        <i x="13" s="1"/>
        <i x="1" s="1"/>
        <i x="15" s="1"/>
        <i x="12" s="1"/>
        <i x="17" s="1"/>
        <i x="6" s="1"/>
        <i x="20" s="1"/>
        <i x="19" s="1"/>
        <i x="16" s="1"/>
        <i x="18" s="1"/>
        <i x="5" s="1"/>
        <i x="8" s="1"/>
        <i x="0" s="1"/>
        <i x="14" s="1"/>
        <i x="9" s="1"/>
        <i x="2" s="1"/>
        <i x="1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FFDF061C-27EC-4B91-BAD1-A3BF9BB62DBC}" sourceName="Customer ID">
  <pivotTables>
    <pivotTable tabId="2" name="PivotTable9"/>
  </pivotTables>
  <data>
    <tabular pivotCacheId="879051372">
      <items count="42">
        <i x="17" s="1"/>
        <i x="6" s="1"/>
        <i x="21" s="1"/>
        <i x="0" s="1"/>
        <i x="3" s="1"/>
        <i x="5" s="1"/>
        <i x="30" s="1"/>
        <i x="2" s="1"/>
        <i x="32" s="1"/>
        <i x="33" s="1"/>
        <i x="23" s="1"/>
        <i x="27" s="1"/>
        <i x="15" s="1"/>
        <i x="41" s="1"/>
        <i x="24" s="1"/>
        <i x="18" s="1"/>
        <i x="7" s="1"/>
        <i x="4" s="1"/>
        <i x="22" s="1"/>
        <i x="29" s="1"/>
        <i x="40" s="1"/>
        <i x="34" s="1"/>
        <i x="14" s="1"/>
        <i x="36" s="1"/>
        <i x="37" s="1"/>
        <i x="9" s="1"/>
        <i x="13" s="1"/>
        <i x="11" s="1"/>
        <i x="1" s="1"/>
        <i x="28" s="1"/>
        <i x="12" s="1"/>
        <i x="16" s="1"/>
        <i x="8" s="1"/>
        <i x="26" s="1"/>
        <i x="19" s="1"/>
        <i x="38" s="1"/>
        <i x="39" s="1"/>
        <i x="31" s="1"/>
        <i x="35" s="1"/>
        <i x="25" s="1"/>
        <i x="10"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D0537476-33EA-4D58-BDAD-1BD515AEF618}" sourceName="Customer Name">
  <pivotTables>
    <pivotTable tabId="2" name="PivotTable9"/>
  </pivotTables>
  <data>
    <tabular pivotCacheId="879051372">
      <items count="42">
        <i x="17" s="1"/>
        <i x="6" s="1"/>
        <i x="5" s="1"/>
        <i x="21" s="1"/>
        <i x="3" s="1"/>
        <i x="30" s="1"/>
        <i x="0" s="1"/>
        <i x="27" s="1"/>
        <i x="2" s="1"/>
        <i x="32" s="1"/>
        <i x="23" s="1"/>
        <i x="33" s="1"/>
        <i x="41" s="1"/>
        <i x="18" s="1"/>
        <i x="15" s="1"/>
        <i x="7" s="1"/>
        <i x="24" s="1"/>
        <i x="22" s="1"/>
        <i x="4" s="1"/>
        <i x="29" s="1"/>
        <i x="40" s="1"/>
        <i x="34" s="1"/>
        <i x="9" s="1"/>
        <i x="37" s="1"/>
        <i x="36" s="1"/>
        <i x="14" s="1"/>
        <i x="13" s="1"/>
        <i x="11" s="1"/>
        <i x="1" s="1"/>
        <i x="28" s="1"/>
        <i x="16" s="1"/>
        <i x="12" s="1"/>
        <i x="8" s="1"/>
        <i x="26" s="1"/>
        <i x="19" s="1"/>
        <i x="38" s="1"/>
        <i x="25" s="1"/>
        <i x="39" s="1"/>
        <i x="31" s="1"/>
        <i x="35" s="1"/>
        <i x="10" s="1"/>
        <i x="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CD9E09D-D715-4707-93FB-B2EDD060BA02}" sourceName="City">
  <pivotTables>
    <pivotTable tabId="2" name="PivotTable9"/>
  </pivotTables>
  <data>
    <tabular pivotCacheId="879051372">
      <items count="31">
        <i x="8" s="1"/>
        <i x="3" s="1"/>
        <i x="25" s="1"/>
        <i x="4" s="1"/>
        <i x="29" s="1"/>
        <i x="24" s="1"/>
        <i x="16" s="1"/>
        <i x="17" s="1"/>
        <i x="19" s="1"/>
        <i x="23" s="1"/>
        <i x="9" s="1"/>
        <i x="11" s="1"/>
        <i x="0" s="1"/>
        <i x="26" s="1"/>
        <i x="6" s="1"/>
        <i x="14" s="1"/>
        <i x="1" s="1"/>
        <i x="22" s="1"/>
        <i x="20" s="1"/>
        <i x="7" s="1"/>
        <i x="5" s="1"/>
        <i x="27" s="1"/>
        <i x="10" s="1"/>
        <i x="30" s="1"/>
        <i x="2" s="1"/>
        <i x="21" s="1"/>
        <i x="28" s="1"/>
        <i x="13" s="1"/>
        <i x="15" s="1"/>
        <i x="12" s="1"/>
        <i x="1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4A10DBA4-2C3A-4A26-9508-AECED9BEF583}" sourceName="State">
  <pivotTables>
    <pivotTable tabId="2" name="PivotTable9"/>
  </pivotTables>
  <data>
    <tabular pivotCacheId="879051372">
      <items count="18">
        <i x="1" s="1"/>
        <i x="11" s="1"/>
        <i x="6" s="1"/>
        <i x="14" s="1"/>
        <i x="17" s="1"/>
        <i x="0" s="1"/>
        <i x="16" s="1"/>
        <i x="13" s="1"/>
        <i x="10" s="1"/>
        <i x="12" s="1"/>
        <i x="4" s="1"/>
        <i x="8" s="1"/>
        <i x="3" s="1"/>
        <i x="5" s="1"/>
        <i x="2" s="1"/>
        <i x="15" s="1"/>
        <i x="9"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10B45D93-8983-4225-BEB1-814E0C1591C5}" sourceName="Segment">
  <pivotTables>
    <pivotTable tabId="2" name="PivotTable9"/>
  </pivotTables>
  <data>
    <tabular pivotCacheId="879051372">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8630017C-BBA7-48A7-A80D-1D292C196853}" sourceName="Category">
  <pivotTables>
    <pivotTable tabId="7" name="PivotTable10"/>
  </pivotTables>
  <data>
    <tabular pivotCacheId="1208701266">
      <items count="3">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2" xr10:uid="{087D7B61-AC5F-4AAC-B8CA-B28693F72AE6}" sourceName="Unit_Price">
  <pivotTables>
    <pivotTable tabId="7" name="PivotTable10"/>
  </pivotTables>
  <data>
    <tabular pivotCacheId="1208701266">
      <items count="20">
        <i x="14" s="1"/>
        <i x="8" s="1"/>
        <i x="3" s="1"/>
        <i x="9" s="1"/>
        <i x="5" s="1"/>
        <i x="13" s="1"/>
        <i x="10" s="1"/>
        <i x="6" s="1"/>
        <i x="1" s="1"/>
        <i x="7" s="1"/>
        <i x="19" s="1"/>
        <i x="16" s="1"/>
        <i x="17" s="1"/>
        <i x="4" s="1"/>
        <i x="0" s="1"/>
        <i x="15" s="1"/>
        <i x="2" s="1"/>
        <i x="11" s="1"/>
        <i x="12" s="1"/>
        <i x="18"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C8F8968F-7673-4CDA-999A-6D432DF2EAA8}" sourceName="Sales">
  <pivotTables>
    <pivotTable tabId="9" name="PivotTable12"/>
  </pivotTables>
  <data>
    <tabular pivotCacheId="817376204">
      <items count="40">
        <i x="36" s="1"/>
        <i x="10" s="1"/>
        <i x="13" s="1"/>
        <i x="8" s="1"/>
        <i x="25" s="1"/>
        <i x="29" s="1"/>
        <i x="31" s="1"/>
        <i x="39" s="1"/>
        <i x="16" s="1"/>
        <i x="28" s="1"/>
        <i x="17" s="1"/>
        <i x="4" s="1"/>
        <i x="20" s="1"/>
        <i x="15" s="1"/>
        <i x="21" s="1"/>
        <i x="35" s="1"/>
        <i x="32" s="1"/>
        <i x="14" s="1"/>
        <i x="30" s="1"/>
        <i x="27" s="1"/>
        <i x="0" s="1"/>
        <i x="26" s="1"/>
        <i x="33" s="1"/>
        <i x="11" s="1"/>
        <i x="19" s="1"/>
        <i x="22" s="1"/>
        <i x="3" s="1"/>
        <i x="5" s="1"/>
        <i x="1" s="1"/>
        <i x="6" s="1"/>
        <i x="38" s="1"/>
        <i x="12" s="1"/>
        <i x="2" s="1"/>
        <i x="37" s="1"/>
        <i x="34" s="1"/>
        <i x="23" s="1"/>
        <i x="24" s="1"/>
        <i x="9" s="1"/>
        <i x="18" s="1"/>
        <i x="7"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order_Level2" xr10:uid="{3E4127A9-D2EA-48EB-AB60-959204B4C3A5}" sourceName="Reorder_Level">
  <pivotTables>
    <pivotTable tabId="8" name="PivotTable11"/>
  </pivotTables>
  <data>
    <tabular pivotCacheId="40771101">
      <items count="30">
        <i x="23" s="1"/>
        <i x="27" s="1"/>
        <i x="9" s="1"/>
        <i x="15" s="1"/>
        <i x="28" s="1"/>
        <i x="14" s="1"/>
        <i x="4" s="1"/>
        <i x="5" s="1"/>
        <i x="29" s="1"/>
        <i x="2" s="1"/>
        <i x="24" s="1"/>
        <i x="22" s="1"/>
        <i x="17" s="1"/>
        <i x="13" s="1"/>
        <i x="6" s="1"/>
        <i x="3" s="1"/>
        <i x="18" s="1"/>
        <i x="19" s="1"/>
        <i x="0" s="1"/>
        <i x="20" s="1"/>
        <i x="1" s="1"/>
        <i x="12" s="1"/>
        <i x="10" s="1"/>
        <i x="8" s="1"/>
        <i x="26" s="1"/>
        <i x="25" s="1"/>
        <i x="7" s="1"/>
        <i x="16" s="1"/>
        <i x="11" s="1"/>
        <i x="2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stock2" xr10:uid="{C1CDD58F-3A18-4424-A958-A0F34A1C5DE1}" sourceName="Current_stock">
  <pivotTables>
    <pivotTable tabId="8" name="PivotTable11"/>
  </pivotTables>
  <data>
    <tabular pivotCacheId="40771101">
      <items count="27">
        <i x="3" s="1"/>
        <i x="24" s="1"/>
        <i x="26" s="1"/>
        <i x="0" s="1"/>
        <i x="11" s="1"/>
        <i x="15" s="1"/>
        <i x="2" s="1"/>
        <i x="22" s="1"/>
        <i x="4" s="1"/>
        <i x="9" s="1"/>
        <i x="7" s="1"/>
        <i x="1" s="1"/>
        <i x="16" s="1"/>
        <i x="13" s="1"/>
        <i x="5" s="1"/>
        <i x="10" s="1"/>
        <i x="21" s="1"/>
        <i x="17" s="1"/>
        <i x="18" s="1"/>
        <i x="25" s="1"/>
        <i x="19" s="1"/>
        <i x="20" s="1"/>
        <i x="8" s="1"/>
        <i x="14" s="1"/>
        <i x="12" s="1"/>
        <i x="6" s="1"/>
        <i x="2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Month1" xr10:uid="{078A65BE-A2F8-41FF-9E54-C0905A9FE604}" sourceName="Quarters (Month)">
  <pivotTables>
    <pivotTable tabId="10" name="PivotTable13"/>
  </pivotTables>
  <data>
    <tabular pivotCacheId="404856824">
      <items count="6">
        <i x="1" s="1"/>
        <i x="2" s="1"/>
        <i x="3" s="1"/>
        <i x="4" s="1"/>
        <i x="0" s="1" nd="1"/>
        <i x="5"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1" xr10:uid="{6867CB91-0486-499A-AF15-92C5BB31879E}" sourceName="Years (Month)">
  <pivotTables>
    <pivotTable tabId="10" name="PivotTable13"/>
  </pivotTables>
  <data>
    <tabular pivotCacheId="404856824">
      <items count="7">
        <i x="1" s="1"/>
        <i x="2" s="1"/>
        <i x="3" s="1"/>
        <i x="4" s="1"/>
        <i x="5"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2387FC7D-6826-441C-A4FB-A5CBADF7FD0B}" cache="Slicer_State1" caption="State" style="SlicerStyleLight3" rowHeight="241300"/>
  <slicer name="Segment 1" xr10:uid="{1933AFA3-536A-43F0-9255-CC3533FC0BF9}" cache="Slicer_Segment1" caption="Segment"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9FCEEDC0-9775-45F4-87B5-3D3900A44772}" cache="Slicer_Category2" caption="Category" rowHeight="241300"/>
  <slicer name="Unit_Price 3" xr10:uid="{65332EF3-14B1-4989-8123-6C1E6EDDBCF8}" cache="Slicer_Unit_Price2" caption="Unit_Pric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1" xr10:uid="{C34CE665-9440-45D7-90E9-10D220CB7CBF}" cache="Slicer_Sales" caption="Sales"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order_Level 3" xr10:uid="{34D01365-44D3-4003-9E05-11300182724C}" cache="Slicer_Reorder_Level2" caption="Reorder_Level" style="SlicerStyleLight2" rowHeight="241300"/>
  <slicer name="Current_stock 1" xr10:uid="{9638F105-1072-4B1B-978E-1490019331E8}" cache="Slicer_Current_stock2" caption="Current_stock" style="SlicerStyleLight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Month) 2" xr10:uid="{FE026C96-5A60-466E-9C72-30CC7F3254AF}" cache="Slicer_Quarters__Month1" caption="Quarters (Month)" style="SlicerStyleLight4" rowHeight="241300"/>
  <slicer name="Years (Month) 1" xr10:uid="{FA2D3313-0466-45BA-8604-151038258F80}" cache="Slicer_Years__Month1" caption="Years (Month)" style="SlicerStyleLight4"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B945C702-7118-4F94-8B81-07B9DFF7BEA4}" cache="Slicer_Customer_ID" caption="Customer ID" style="SlicerStyleLight3" rowHeight="241300"/>
  <slicer name="Customer Name" xr10:uid="{49F3A8F5-FBBA-403B-B758-4B04C1607D4F}" cache="Slicer_Customer_Name" caption="Customer Name" style="SlicerStyleLight3" rowHeight="241300"/>
  <slicer name="City" xr10:uid="{5D716F02-92FB-4DB2-A8D2-A0E760865E4F}" cache="Slicer_City" caption="City" style="SlicerStyleLight3" rowHeight="241300"/>
  <slicer name="State" xr10:uid="{C8F9B13B-31E7-4D2A-BE66-AAC08A554407}" cache="Slicer_State1" caption="State" style="SlicerStyleLight3" rowHeight="241300"/>
  <slicer name="Segment" xr10:uid="{CC4B867E-B799-4859-A54C-1D75BF03223B}" cache="Slicer_Segment1" caption="Segment" style="SlicerStyleLight3"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97CE9850-0551-4E8B-AA0E-BE76676222BD}" cache="Slicer_Category2" caption="Category" rowHeight="241300"/>
  <slicer name="Unit_Price 2" xr10:uid="{BC34430C-009E-420B-B70E-CC70E71732BA}" cache="Slicer_Unit_Price2" caption="Unit_Price"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xr10:uid="{3DAEDACC-4D9A-4FD3-AF28-1437AA8E9AB2}" cache="Slicer_Order_ID" caption="Order ID" style="SlicerStyleLight2" rowHeight="241300"/>
  <slicer name="Sales" xr10:uid="{F1C93E96-0CDE-402E-A3AF-80A6FA413FF9}" cache="Slicer_Sales" caption="Sales" style="SlicerStyleLight2"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order_Level 2" xr10:uid="{8946F9D6-5C49-429A-BAB6-46BED3FE18AD}" cache="Slicer_Reorder_Level2" caption="Reorder_Level" style="SlicerStyleLight2" rowHeight="241300"/>
  <slicer name="Current_stock" xr10:uid="{6A4783BF-AD47-4D07-A89E-62383D3B7B66}" cache="Slicer_Current_stock2" caption="Current_stock" style="SlicerStyleLight2"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Month)" xr10:uid="{E5D8AF61-2121-46B5-A6C5-6E4E0727B79C}" cache="Slicer_Quarters__Month1" caption="Quarters (Month)" style="SlicerStyleLight4" rowHeight="241300"/>
  <slicer name="Years (Month)" xr10:uid="{B9DA911A-CF1A-4A0F-9373-4CFE084B8266}" cache="Slicer_Years__Month1" caption="Years (Month)"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CE8D1D-A8F1-44AB-BF91-5A1351EB6737}" name="ORDERS_TABLE" displayName="ORDERS_TABLE" ref="A1:G100" totalsRowShown="0">
  <autoFilter ref="A1:G100" xr:uid="{CDCE8D1D-A8F1-44AB-BF91-5A1351EB6737}"/>
  <tableColumns count="7">
    <tableColumn id="1" xr3:uid="{16F051EF-E514-4B9A-BB69-0150C83A0C8A}" name="Order ID"/>
    <tableColumn id="2" xr3:uid="{32B262D7-D1A5-4812-B685-F3FC537E169D}" name="Order Date" dataDxfId="0"/>
    <tableColumn id="3" xr3:uid="{A171E287-5285-4DFB-ACFA-0A6130ACEEEC}" name="Customer ID"/>
    <tableColumn id="4" xr3:uid="{A9F53D99-8E13-4495-B876-4BE13B16AE2F}" name="Product ID"/>
    <tableColumn id="5" xr3:uid="{47B1AC40-C5E6-4145-900B-56F1F7EDAE37}" name="Sales"/>
    <tableColumn id="6" xr3:uid="{BF2C3C8B-ED50-44FA-AB51-A9F4F2A51C53}" name="Quantity"/>
    <tableColumn id="7" xr3:uid="{5EEF31DA-2100-413D-939C-09D0F05108A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8.xml"/><Relationship Id="rId1" Type="http://schemas.openxmlformats.org/officeDocument/2006/relationships/pivotTable" Target="../pivotTables/pivotTable3.xml"/><Relationship Id="rId4" Type="http://schemas.microsoft.com/office/2007/relationships/slicer" Target="../slicers/slicer8.xml"/></Relationships>
</file>

<file path=xl/worksheets/_rels/sheet9.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0.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EBA3F-C6A3-496B-8CC8-3E4C97F8A0A2}">
  <dimension ref="A1"/>
  <sheetViews>
    <sheetView tabSelected="1" zoomScale="45" workbookViewId="0">
      <selection activeCell="AE32" sqref="AE3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7A0E8-287A-463F-B818-DD99B21858D0}">
  <dimension ref="A1"/>
  <sheetViews>
    <sheetView zoomScale="45" workbookViewId="0"/>
  </sheetViews>
  <sheetFormatPr defaultRowHeight="15" x14ac:dyDescent="0.25"/>
  <sheetData>
    <row r="1" spans="1:1" x14ac:dyDescent="0.25">
      <c r="A1" s="27" t="s">
        <v>544</v>
      </c>
    </row>
  </sheetData>
  <hyperlinks>
    <hyperlink ref="A1" location="customers!A1" display="customers!A1" xr:uid="{159774BB-965C-4FCA-8BD1-9B9816FBCDBA}"/>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04A5C-53EF-4376-B7F2-B65AE488CBE7}">
  <dimension ref="A1"/>
  <sheetViews>
    <sheetView zoomScale="4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7EFB-7DB4-4EEA-B49D-DABCE778946D}">
  <dimension ref="A1"/>
  <sheetViews>
    <sheetView zoomScale="4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76D3-9448-4F11-AFE5-B77C73633220}">
  <dimension ref="A1"/>
  <sheetViews>
    <sheetView zoomScale="4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95357-4B48-4F56-9060-057D6EFC4B72}">
  <dimension ref="A1:AC100"/>
  <sheetViews>
    <sheetView topLeftCell="K1" zoomScale="45" workbookViewId="0">
      <selection activeCell="Q13" sqref="Q13"/>
    </sheetView>
  </sheetViews>
  <sheetFormatPr defaultRowHeight="15" x14ac:dyDescent="0.25"/>
  <cols>
    <col min="1" max="1" width="14" customWidth="1"/>
    <col min="2" max="2" width="20" customWidth="1"/>
    <col min="3" max="3" width="14.5703125" customWidth="1"/>
    <col min="4" max="4" width="15.7109375" customWidth="1"/>
    <col min="5" max="5" width="14.5703125" customWidth="1"/>
    <col min="8" max="8" width="12.42578125" customWidth="1"/>
    <col min="9" max="9" width="17.140625" customWidth="1"/>
    <col min="10" max="10" width="12.42578125" customWidth="1"/>
    <col min="11" max="11" width="14.42578125" customWidth="1"/>
    <col min="12" max="12" width="13" customWidth="1"/>
    <col min="17" max="17" width="22.42578125" bestFit="1" customWidth="1"/>
    <col min="18" max="18" width="27.140625" bestFit="1" customWidth="1"/>
  </cols>
  <sheetData>
    <row r="1" spans="1:29" x14ac:dyDescent="0.25">
      <c r="A1" s="1" t="s">
        <v>0</v>
      </c>
      <c r="B1" s="1" t="s">
        <v>1</v>
      </c>
      <c r="C1" s="1" t="s">
        <v>2</v>
      </c>
      <c r="D1" s="1" t="s">
        <v>3</v>
      </c>
      <c r="E1" t="s">
        <v>4</v>
      </c>
      <c r="I1" s="2" t="s">
        <v>5</v>
      </c>
      <c r="J1" s="3"/>
      <c r="K1" s="3"/>
      <c r="P1" s="4" t="s">
        <v>6</v>
      </c>
      <c r="Q1" s="4"/>
      <c r="R1" s="4"/>
      <c r="S1" s="4"/>
    </row>
    <row r="2" spans="1:29" x14ac:dyDescent="0.25">
      <c r="A2" s="1" t="s">
        <v>7</v>
      </c>
      <c r="B2" s="1" t="s">
        <v>8</v>
      </c>
      <c r="C2" s="1" t="s">
        <v>9</v>
      </c>
      <c r="D2" s="1" t="s">
        <v>10</v>
      </c>
      <c r="E2" t="s">
        <v>11</v>
      </c>
      <c r="I2" s="3"/>
      <c r="J2" s="3"/>
      <c r="K2" s="3"/>
      <c r="P2" s="4"/>
      <c r="Q2" s="4"/>
      <c r="R2" s="4"/>
      <c r="S2" s="4"/>
    </row>
    <row r="3" spans="1:29" x14ac:dyDescent="0.25">
      <c r="A3" s="1" t="s">
        <v>7</v>
      </c>
      <c r="B3" s="1" t="s">
        <v>8</v>
      </c>
      <c r="C3" s="1" t="s">
        <v>9</v>
      </c>
      <c r="D3" s="1" t="s">
        <v>10</v>
      </c>
      <c r="E3" t="s">
        <v>12</v>
      </c>
    </row>
    <row r="4" spans="1:29" x14ac:dyDescent="0.25">
      <c r="A4" s="1" t="s">
        <v>7</v>
      </c>
      <c r="B4" s="1" t="s">
        <v>8</v>
      </c>
      <c r="C4" s="1" t="s">
        <v>9</v>
      </c>
      <c r="D4" s="1" t="s">
        <v>10</v>
      </c>
      <c r="E4" t="s">
        <v>11</v>
      </c>
      <c r="H4" s="1" t="s">
        <v>0</v>
      </c>
      <c r="I4" s="1" t="s">
        <v>1</v>
      </c>
      <c r="J4" s="1" t="s">
        <v>2</v>
      </c>
      <c r="K4" s="1" t="s">
        <v>3</v>
      </c>
      <c r="L4" t="s">
        <v>4</v>
      </c>
      <c r="O4" t="str" cm="1">
        <f t="array" ref="O4:AC8">TRANSPOSE(H4:L18)</f>
        <v>Customer ID</v>
      </c>
      <c r="P4" t="str">
        <v>BM-11575</v>
      </c>
      <c r="Q4" t="str">
        <v>BM-11575</v>
      </c>
      <c r="R4" t="str">
        <v>BM-11575</v>
      </c>
      <c r="S4" t="str">
        <v>LR-16915</v>
      </c>
      <c r="T4" t="str">
        <v>CA-12310</v>
      </c>
      <c r="U4" t="str">
        <v>CA-12310</v>
      </c>
      <c r="V4" t="str">
        <v>CA-12310</v>
      </c>
      <c r="W4" t="str">
        <v>BO-11350</v>
      </c>
      <c r="X4" t="str">
        <v>BO-11350</v>
      </c>
      <c r="Y4" t="str">
        <v>EB-13975</v>
      </c>
      <c r="Z4" t="str">
        <v>BP-11185</v>
      </c>
      <c r="AA4" t="str">
        <v>BP-11185</v>
      </c>
      <c r="AB4" t="str">
        <v>AJ-10795</v>
      </c>
      <c r="AC4" t="str">
        <v>AJ-10795</v>
      </c>
    </row>
    <row r="5" spans="1:29" x14ac:dyDescent="0.25">
      <c r="A5" s="1" t="s">
        <v>13</v>
      </c>
      <c r="B5" s="1" t="s">
        <v>14</v>
      </c>
      <c r="C5" s="1" t="s">
        <v>15</v>
      </c>
      <c r="D5" s="1" t="s">
        <v>16</v>
      </c>
      <c r="E5" t="s">
        <v>12</v>
      </c>
      <c r="H5" s="1" t="s">
        <v>7</v>
      </c>
      <c r="I5" s="1" t="s">
        <v>8</v>
      </c>
      <c r="J5" s="1" t="s">
        <v>9</v>
      </c>
      <c r="K5" s="1" t="s">
        <v>10</v>
      </c>
      <c r="L5" t="s">
        <v>11</v>
      </c>
      <c r="O5" t="str">
        <v>Customer Name</v>
      </c>
      <c r="P5" t="str">
        <v>Brendan Murry</v>
      </c>
      <c r="Q5" t="str">
        <v>Brendan Murry</v>
      </c>
      <c r="R5" t="str">
        <v>Brendan Murry</v>
      </c>
      <c r="S5" t="str">
        <v>Lena Radford</v>
      </c>
      <c r="T5" t="str">
        <v>Christine Abelman</v>
      </c>
      <c r="U5" t="str">
        <v>Christine Abelman</v>
      </c>
      <c r="V5" t="str">
        <v>Christine Abelman</v>
      </c>
      <c r="W5" t="str">
        <v>Bill Overfelt</v>
      </c>
      <c r="X5" t="str">
        <v>Bill Overfelt</v>
      </c>
      <c r="Y5" t="str">
        <v>Erica Bern</v>
      </c>
      <c r="Z5" t="str">
        <v>Ben Peterman</v>
      </c>
      <c r="AA5" t="str">
        <v>Ben Peterman</v>
      </c>
      <c r="AB5" t="str">
        <v>Anthony Johnson</v>
      </c>
      <c r="AC5" t="str">
        <v>Anthony Johnson</v>
      </c>
    </row>
    <row r="6" spans="1:29" x14ac:dyDescent="0.25">
      <c r="A6" s="1" t="s">
        <v>17</v>
      </c>
      <c r="B6" s="1" t="s">
        <v>18</v>
      </c>
      <c r="C6" s="1" t="s">
        <v>19</v>
      </c>
      <c r="D6" s="1" t="s">
        <v>20</v>
      </c>
      <c r="E6" t="s">
        <v>11</v>
      </c>
      <c r="H6" s="1" t="s">
        <v>7</v>
      </c>
      <c r="I6" s="1" t="s">
        <v>8</v>
      </c>
      <c r="J6" s="1" t="s">
        <v>9</v>
      </c>
      <c r="K6" s="1" t="s">
        <v>10</v>
      </c>
      <c r="L6" t="s">
        <v>12</v>
      </c>
      <c r="O6" t="str">
        <v>City</v>
      </c>
      <c r="P6" t="str">
        <v>Gaithersburg</v>
      </c>
      <c r="Q6" t="str">
        <v>Gaithersburg</v>
      </c>
      <c r="R6" t="str">
        <v>Gaithersburg</v>
      </c>
      <c r="S6" t="str">
        <v>Los Angeles</v>
      </c>
      <c r="T6" t="str">
        <v>San Antonio</v>
      </c>
      <c r="U6" t="str">
        <v>San Antonio</v>
      </c>
      <c r="V6" t="str">
        <v>San Antonio</v>
      </c>
      <c r="W6" t="str">
        <v>Broken Arrow</v>
      </c>
      <c r="X6" t="str">
        <v>Broken Arrow</v>
      </c>
      <c r="Y6" t="str">
        <v>Charlotte</v>
      </c>
      <c r="Z6" t="str">
        <v>Philadelphia</v>
      </c>
      <c r="AA6" t="str">
        <v>Philadelphia</v>
      </c>
      <c r="AB6" t="str">
        <v>Jacksonville</v>
      </c>
      <c r="AC6" t="str">
        <v>Jacksonville</v>
      </c>
    </row>
    <row r="7" spans="1:29" x14ac:dyDescent="0.25">
      <c r="A7" s="1" t="s">
        <v>17</v>
      </c>
      <c r="B7" s="1" t="s">
        <v>18</v>
      </c>
      <c r="C7" s="1" t="s">
        <v>19</v>
      </c>
      <c r="D7" s="1" t="s">
        <v>20</v>
      </c>
      <c r="E7" t="s">
        <v>21</v>
      </c>
      <c r="H7" s="1" t="s">
        <v>7</v>
      </c>
      <c r="I7" s="1" t="s">
        <v>8</v>
      </c>
      <c r="J7" s="1" t="s">
        <v>9</v>
      </c>
      <c r="K7" s="1" t="s">
        <v>10</v>
      </c>
      <c r="L7" t="s">
        <v>11</v>
      </c>
      <c r="O7" t="str">
        <v>State</v>
      </c>
      <c r="P7" t="str">
        <v>Maryland</v>
      </c>
      <c r="Q7" t="str">
        <v>Maryland</v>
      </c>
      <c r="R7" t="str">
        <v>Maryland</v>
      </c>
      <c r="S7" t="str">
        <v>California</v>
      </c>
      <c r="T7" t="str">
        <v>Texas</v>
      </c>
      <c r="U7" t="str">
        <v>Texas</v>
      </c>
      <c r="V7" t="str">
        <v>Texas</v>
      </c>
      <c r="W7" t="str">
        <v>Oklahoma</v>
      </c>
      <c r="X7" t="str">
        <v>Oklahoma</v>
      </c>
      <c r="Y7" t="str">
        <v>North Carolina</v>
      </c>
      <c r="Z7" t="str">
        <v>Pennsylvania</v>
      </c>
      <c r="AA7" t="str">
        <v>Pennsylvania</v>
      </c>
      <c r="AB7" t="str">
        <v>Florida</v>
      </c>
      <c r="AC7" t="str">
        <v>Florida</v>
      </c>
    </row>
    <row r="8" spans="1:29" x14ac:dyDescent="0.25">
      <c r="A8" s="1" t="s">
        <v>17</v>
      </c>
      <c r="B8" s="1" t="s">
        <v>18</v>
      </c>
      <c r="C8" s="1" t="s">
        <v>19</v>
      </c>
      <c r="D8" s="1" t="s">
        <v>20</v>
      </c>
      <c r="E8" t="s">
        <v>12</v>
      </c>
      <c r="H8" s="1" t="s">
        <v>13</v>
      </c>
      <c r="I8" s="1" t="s">
        <v>14</v>
      </c>
      <c r="J8" s="1" t="s">
        <v>15</v>
      </c>
      <c r="K8" s="1" t="s">
        <v>16</v>
      </c>
      <c r="L8" t="s">
        <v>12</v>
      </c>
      <c r="O8" t="str">
        <v>Segment</v>
      </c>
      <c r="P8" t="str">
        <v>Consumer</v>
      </c>
      <c r="Q8" t="str">
        <v>Home Office</v>
      </c>
      <c r="R8" t="str">
        <v>Consumer</v>
      </c>
      <c r="S8" t="str">
        <v>Home Office</v>
      </c>
      <c r="T8" t="str">
        <v>Consumer</v>
      </c>
      <c r="U8" t="str">
        <v>Corporate</v>
      </c>
      <c r="V8" t="str">
        <v>Home Office</v>
      </c>
      <c r="W8" t="str">
        <v>Home Office</v>
      </c>
      <c r="X8" t="str">
        <v>Consumer</v>
      </c>
      <c r="Y8" t="str">
        <v>Consumer</v>
      </c>
      <c r="Z8" t="str">
        <v>Consumer</v>
      </c>
      <c r="AA8" t="str">
        <v>Consumer</v>
      </c>
      <c r="AB8" t="str">
        <v>Corporate</v>
      </c>
      <c r="AC8" t="str">
        <v>Corporate</v>
      </c>
    </row>
    <row r="9" spans="1:29" x14ac:dyDescent="0.25">
      <c r="A9" s="1" t="s">
        <v>22</v>
      </c>
      <c r="B9" s="1" t="s">
        <v>23</v>
      </c>
      <c r="C9" s="1" t="s">
        <v>24</v>
      </c>
      <c r="D9" s="1" t="s">
        <v>25</v>
      </c>
      <c r="E9" t="s">
        <v>12</v>
      </c>
      <c r="H9" s="1" t="s">
        <v>17</v>
      </c>
      <c r="I9" s="1" t="s">
        <v>18</v>
      </c>
      <c r="J9" s="1" t="s">
        <v>19</v>
      </c>
      <c r="K9" s="1" t="s">
        <v>20</v>
      </c>
      <c r="L9" t="s">
        <v>11</v>
      </c>
    </row>
    <row r="10" spans="1:29" x14ac:dyDescent="0.25">
      <c r="A10" s="1" t="s">
        <v>22</v>
      </c>
      <c r="B10" s="1" t="s">
        <v>23</v>
      </c>
      <c r="C10" s="1" t="s">
        <v>24</v>
      </c>
      <c r="D10" s="1" t="s">
        <v>25</v>
      </c>
      <c r="E10" t="s">
        <v>11</v>
      </c>
      <c r="H10" s="1" t="s">
        <v>17</v>
      </c>
      <c r="I10" s="1" t="s">
        <v>18</v>
      </c>
      <c r="J10" s="1" t="s">
        <v>19</v>
      </c>
      <c r="K10" s="1" t="s">
        <v>20</v>
      </c>
      <c r="L10" t="s">
        <v>21</v>
      </c>
    </row>
    <row r="11" spans="1:29" x14ac:dyDescent="0.25">
      <c r="A11" s="1" t="s">
        <v>26</v>
      </c>
      <c r="B11" s="1" t="s">
        <v>27</v>
      </c>
      <c r="C11" s="1" t="s">
        <v>28</v>
      </c>
      <c r="D11" s="1" t="s">
        <v>29</v>
      </c>
      <c r="E11" t="s">
        <v>11</v>
      </c>
      <c r="H11" s="1" t="s">
        <v>17</v>
      </c>
      <c r="I11" s="1" t="s">
        <v>18</v>
      </c>
      <c r="J11" s="1" t="s">
        <v>19</v>
      </c>
      <c r="K11" s="1" t="s">
        <v>20</v>
      </c>
      <c r="L11" t="s">
        <v>12</v>
      </c>
      <c r="Q11" t="s">
        <v>30</v>
      </c>
    </row>
    <row r="12" spans="1:29" x14ac:dyDescent="0.25">
      <c r="A12" s="1" t="s">
        <v>31</v>
      </c>
      <c r="B12" s="1" t="s">
        <v>32</v>
      </c>
      <c r="C12" s="1" t="s">
        <v>33</v>
      </c>
      <c r="D12" s="1" t="s">
        <v>34</v>
      </c>
      <c r="E12" t="s">
        <v>11</v>
      </c>
      <c r="H12" s="1" t="s">
        <v>22</v>
      </c>
      <c r="I12" s="1" t="s">
        <v>23</v>
      </c>
      <c r="J12" s="1" t="s">
        <v>24</v>
      </c>
      <c r="K12" s="1" t="s">
        <v>25</v>
      </c>
      <c r="L12" t="s">
        <v>12</v>
      </c>
      <c r="Q12" t="str">
        <f>HLOOKUP(R7,O7:Z8,2,0)</f>
        <v>Consumer</v>
      </c>
    </row>
    <row r="13" spans="1:29" x14ac:dyDescent="0.25">
      <c r="A13" s="1" t="s">
        <v>31</v>
      </c>
      <c r="B13" s="1" t="s">
        <v>32</v>
      </c>
      <c r="C13" s="1" t="s">
        <v>33</v>
      </c>
      <c r="D13" s="1" t="s">
        <v>34</v>
      </c>
      <c r="E13" t="s">
        <v>11</v>
      </c>
      <c r="H13" s="1" t="s">
        <v>22</v>
      </c>
      <c r="I13" s="1" t="s">
        <v>23</v>
      </c>
      <c r="J13" s="1" t="s">
        <v>24</v>
      </c>
      <c r="K13" s="1" t="s">
        <v>25</v>
      </c>
      <c r="L13" t="s">
        <v>11</v>
      </c>
    </row>
    <row r="14" spans="1:29" x14ac:dyDescent="0.25">
      <c r="A14" s="1" t="s">
        <v>35</v>
      </c>
      <c r="B14" s="1" t="s">
        <v>36</v>
      </c>
      <c r="C14" s="1" t="s">
        <v>37</v>
      </c>
      <c r="D14" s="1" t="s">
        <v>38</v>
      </c>
      <c r="E14" t="s">
        <v>21</v>
      </c>
      <c r="H14" s="1" t="s">
        <v>26</v>
      </c>
      <c r="I14" s="1" t="s">
        <v>27</v>
      </c>
      <c r="J14" s="1" t="s">
        <v>28</v>
      </c>
      <c r="K14" s="1" t="s">
        <v>29</v>
      </c>
      <c r="L14" t="s">
        <v>11</v>
      </c>
    </row>
    <row r="15" spans="1:29" x14ac:dyDescent="0.25">
      <c r="A15" s="1" t="s">
        <v>35</v>
      </c>
      <c r="B15" s="1" t="s">
        <v>36</v>
      </c>
      <c r="C15" s="1" t="s">
        <v>37</v>
      </c>
      <c r="D15" s="1" t="s">
        <v>38</v>
      </c>
      <c r="E15" t="s">
        <v>21</v>
      </c>
      <c r="H15" s="1" t="s">
        <v>31</v>
      </c>
      <c r="I15" s="1" t="s">
        <v>32</v>
      </c>
      <c r="J15" s="1" t="s">
        <v>33</v>
      </c>
      <c r="K15" s="1" t="s">
        <v>34</v>
      </c>
      <c r="L15" t="s">
        <v>11</v>
      </c>
    </row>
    <row r="16" spans="1:29" x14ac:dyDescent="0.25">
      <c r="A16" s="1" t="s">
        <v>35</v>
      </c>
      <c r="B16" s="1" t="s">
        <v>36</v>
      </c>
      <c r="C16" s="1" t="s">
        <v>37</v>
      </c>
      <c r="D16" s="1" t="s">
        <v>38</v>
      </c>
      <c r="E16" t="s">
        <v>11</v>
      </c>
      <c r="H16" s="1" t="s">
        <v>31</v>
      </c>
      <c r="I16" s="1" t="s">
        <v>32</v>
      </c>
      <c r="J16" s="1" t="s">
        <v>33</v>
      </c>
      <c r="K16" s="1" t="s">
        <v>34</v>
      </c>
      <c r="L16" t="s">
        <v>11</v>
      </c>
    </row>
    <row r="17" spans="1:18" x14ac:dyDescent="0.25">
      <c r="A17" s="1" t="s">
        <v>39</v>
      </c>
      <c r="B17" s="1" t="s">
        <v>40</v>
      </c>
      <c r="C17" s="1" t="s">
        <v>41</v>
      </c>
      <c r="D17" s="1" t="s">
        <v>16</v>
      </c>
      <c r="E17" t="s">
        <v>11</v>
      </c>
      <c r="H17" s="1" t="s">
        <v>35</v>
      </c>
      <c r="I17" s="1" t="s">
        <v>36</v>
      </c>
      <c r="J17" s="1" t="s">
        <v>37</v>
      </c>
      <c r="K17" s="1" t="s">
        <v>38</v>
      </c>
      <c r="L17" t="s">
        <v>21</v>
      </c>
      <c r="Q17" s="24" t="s">
        <v>2</v>
      </c>
      <c r="R17" t="s">
        <v>518</v>
      </c>
    </row>
    <row r="18" spans="1:18" x14ac:dyDescent="0.25">
      <c r="A18" s="1" t="s">
        <v>42</v>
      </c>
      <c r="B18" s="1" t="s">
        <v>43</v>
      </c>
      <c r="C18" s="1" t="s">
        <v>44</v>
      </c>
      <c r="D18" s="1" t="s">
        <v>20</v>
      </c>
      <c r="E18" t="s">
        <v>11</v>
      </c>
      <c r="H18" s="1" t="s">
        <v>35</v>
      </c>
      <c r="I18" s="1" t="s">
        <v>36</v>
      </c>
      <c r="J18" s="1" t="s">
        <v>37</v>
      </c>
      <c r="K18" s="1" t="s">
        <v>38</v>
      </c>
      <c r="L18" t="s">
        <v>21</v>
      </c>
      <c r="Q18" s="24" t="s">
        <v>3</v>
      </c>
      <c r="R18" t="s">
        <v>518</v>
      </c>
    </row>
    <row r="19" spans="1:18" x14ac:dyDescent="0.25">
      <c r="A19" s="1" t="s">
        <v>42</v>
      </c>
      <c r="B19" s="1" t="s">
        <v>43</v>
      </c>
      <c r="C19" s="1" t="s">
        <v>44</v>
      </c>
      <c r="D19" s="1" t="s">
        <v>20</v>
      </c>
      <c r="E19" t="s">
        <v>21</v>
      </c>
      <c r="H19" s="1" t="s">
        <v>35</v>
      </c>
      <c r="I19" s="1" t="s">
        <v>36</v>
      </c>
      <c r="J19" s="1" t="s">
        <v>37</v>
      </c>
      <c r="K19" s="1" t="s">
        <v>38</v>
      </c>
      <c r="L19" t="s">
        <v>11</v>
      </c>
      <c r="Q19" s="24" t="s">
        <v>1</v>
      </c>
      <c r="R19" t="s">
        <v>518</v>
      </c>
    </row>
    <row r="20" spans="1:18" x14ac:dyDescent="0.25">
      <c r="A20" s="1" t="s">
        <v>45</v>
      </c>
      <c r="B20" s="1" t="s">
        <v>46</v>
      </c>
      <c r="C20" s="1" t="s">
        <v>47</v>
      </c>
      <c r="D20" s="1" t="s">
        <v>48</v>
      </c>
      <c r="E20" t="s">
        <v>21</v>
      </c>
      <c r="H20" s="1" t="s">
        <v>39</v>
      </c>
      <c r="I20" s="1" t="s">
        <v>40</v>
      </c>
      <c r="J20" s="1" t="s">
        <v>41</v>
      </c>
      <c r="K20" s="1" t="s">
        <v>16</v>
      </c>
      <c r="L20" t="s">
        <v>11</v>
      </c>
    </row>
    <row r="21" spans="1:18" x14ac:dyDescent="0.25">
      <c r="A21" s="1" t="s">
        <v>45</v>
      </c>
      <c r="B21" s="1" t="s">
        <v>46</v>
      </c>
      <c r="C21" s="1" t="s">
        <v>47</v>
      </c>
      <c r="D21" s="1" t="s">
        <v>48</v>
      </c>
      <c r="E21" t="s">
        <v>21</v>
      </c>
      <c r="H21" s="1" t="s">
        <v>42</v>
      </c>
      <c r="I21" s="1" t="s">
        <v>43</v>
      </c>
      <c r="J21" s="1" t="s">
        <v>44</v>
      </c>
      <c r="K21" s="1" t="s">
        <v>20</v>
      </c>
      <c r="L21" t="s">
        <v>11</v>
      </c>
      <c r="Q21" s="24" t="s">
        <v>519</v>
      </c>
      <c r="R21" t="s">
        <v>520</v>
      </c>
    </row>
    <row r="22" spans="1:18" x14ac:dyDescent="0.25">
      <c r="A22" s="1" t="s">
        <v>49</v>
      </c>
      <c r="B22" s="1" t="s">
        <v>50</v>
      </c>
      <c r="C22" s="1" t="s">
        <v>51</v>
      </c>
      <c r="D22" s="1" t="s">
        <v>29</v>
      </c>
      <c r="E22" t="s">
        <v>11</v>
      </c>
      <c r="H22" s="1" t="s">
        <v>42</v>
      </c>
      <c r="I22" s="1" t="s">
        <v>43</v>
      </c>
      <c r="J22" s="1" t="s">
        <v>44</v>
      </c>
      <c r="K22" s="1" t="s">
        <v>20</v>
      </c>
      <c r="L22" t="s">
        <v>21</v>
      </c>
      <c r="Q22" s="23" t="s">
        <v>72</v>
      </c>
      <c r="R22" s="25">
        <v>2</v>
      </c>
    </row>
    <row r="23" spans="1:18" x14ac:dyDescent="0.25">
      <c r="A23" s="1" t="s">
        <v>49</v>
      </c>
      <c r="B23" s="1" t="s">
        <v>50</v>
      </c>
      <c r="C23" s="1" t="s">
        <v>51</v>
      </c>
      <c r="D23" s="1" t="s">
        <v>29</v>
      </c>
      <c r="E23" t="s">
        <v>11</v>
      </c>
      <c r="H23" s="1" t="s">
        <v>45</v>
      </c>
      <c r="I23" s="1" t="s">
        <v>46</v>
      </c>
      <c r="J23" s="1" t="s">
        <v>47</v>
      </c>
      <c r="K23" s="1" t="s">
        <v>48</v>
      </c>
      <c r="L23" t="s">
        <v>21</v>
      </c>
      <c r="Q23" s="23" t="s">
        <v>35</v>
      </c>
      <c r="R23" s="25">
        <v>4</v>
      </c>
    </row>
    <row r="24" spans="1:18" x14ac:dyDescent="0.25">
      <c r="A24" s="1" t="s">
        <v>49</v>
      </c>
      <c r="B24" s="1" t="s">
        <v>50</v>
      </c>
      <c r="C24" s="1" t="s">
        <v>51</v>
      </c>
      <c r="D24" s="1" t="s">
        <v>29</v>
      </c>
      <c r="E24" t="s">
        <v>11</v>
      </c>
      <c r="H24" s="1" t="s">
        <v>45</v>
      </c>
      <c r="I24" s="1" t="s">
        <v>46</v>
      </c>
      <c r="J24" s="1" t="s">
        <v>47</v>
      </c>
      <c r="K24" s="1" t="s">
        <v>48</v>
      </c>
      <c r="L24" t="s">
        <v>21</v>
      </c>
      <c r="Q24" s="23" t="s">
        <v>88</v>
      </c>
      <c r="R24" s="25">
        <v>1</v>
      </c>
    </row>
    <row r="25" spans="1:18" x14ac:dyDescent="0.25">
      <c r="A25" s="1" t="s">
        <v>52</v>
      </c>
      <c r="B25" s="1" t="s">
        <v>53</v>
      </c>
      <c r="C25" s="1" t="s">
        <v>54</v>
      </c>
      <c r="D25" s="1" t="s">
        <v>16</v>
      </c>
      <c r="E25" t="s">
        <v>11</v>
      </c>
      <c r="H25" s="1" t="s">
        <v>49</v>
      </c>
      <c r="I25" s="1" t="s">
        <v>50</v>
      </c>
      <c r="J25" s="1" t="s">
        <v>51</v>
      </c>
      <c r="K25" s="1" t="s">
        <v>29</v>
      </c>
      <c r="L25" t="s">
        <v>11</v>
      </c>
      <c r="Q25" s="23" t="s">
        <v>7</v>
      </c>
      <c r="R25" s="25">
        <v>3</v>
      </c>
    </row>
    <row r="26" spans="1:18" x14ac:dyDescent="0.25">
      <c r="A26" s="1" t="s">
        <v>52</v>
      </c>
      <c r="B26" s="1" t="s">
        <v>53</v>
      </c>
      <c r="C26" s="1" t="s">
        <v>54</v>
      </c>
      <c r="D26" s="1" t="s">
        <v>16</v>
      </c>
      <c r="E26" t="s">
        <v>21</v>
      </c>
      <c r="H26" s="1" t="s">
        <v>49</v>
      </c>
      <c r="I26" s="1" t="s">
        <v>50</v>
      </c>
      <c r="J26" s="1" t="s">
        <v>51</v>
      </c>
      <c r="K26" s="1" t="s">
        <v>29</v>
      </c>
      <c r="L26" t="s">
        <v>11</v>
      </c>
      <c r="Q26" s="23" t="s">
        <v>22</v>
      </c>
      <c r="R26" s="25">
        <v>2</v>
      </c>
    </row>
    <row r="27" spans="1:18" x14ac:dyDescent="0.25">
      <c r="A27" s="1" t="s">
        <v>55</v>
      </c>
      <c r="B27" s="1" t="s">
        <v>56</v>
      </c>
      <c r="C27" s="1" t="s">
        <v>57</v>
      </c>
      <c r="D27" s="1" t="s">
        <v>58</v>
      </c>
      <c r="E27" t="s">
        <v>11</v>
      </c>
      <c r="H27" s="1" t="s">
        <v>49</v>
      </c>
      <c r="I27" s="1" t="s">
        <v>50</v>
      </c>
      <c r="J27" s="1" t="s">
        <v>51</v>
      </c>
      <c r="K27" s="1" t="s">
        <v>29</v>
      </c>
      <c r="L27" t="s">
        <v>11</v>
      </c>
      <c r="Q27" s="23" t="s">
        <v>31</v>
      </c>
      <c r="R27" s="25">
        <v>2</v>
      </c>
    </row>
    <row r="28" spans="1:18" x14ac:dyDescent="0.25">
      <c r="A28" s="1" t="s">
        <v>59</v>
      </c>
      <c r="B28" s="1" t="s">
        <v>60</v>
      </c>
      <c r="C28" s="1" t="s">
        <v>61</v>
      </c>
      <c r="D28" s="1" t="s">
        <v>62</v>
      </c>
      <c r="E28" t="s">
        <v>11</v>
      </c>
      <c r="H28" s="1" t="s">
        <v>52</v>
      </c>
      <c r="I28" s="1" t="s">
        <v>53</v>
      </c>
      <c r="J28" s="1" t="s">
        <v>54</v>
      </c>
      <c r="K28" s="1" t="s">
        <v>16</v>
      </c>
      <c r="L28" t="s">
        <v>11</v>
      </c>
      <c r="Q28" s="23" t="s">
        <v>111</v>
      </c>
      <c r="R28" s="25">
        <v>2</v>
      </c>
    </row>
    <row r="29" spans="1:18" x14ac:dyDescent="0.25">
      <c r="A29" s="1" t="s">
        <v>59</v>
      </c>
      <c r="B29" s="1" t="s">
        <v>60</v>
      </c>
      <c r="C29" s="1" t="s">
        <v>61</v>
      </c>
      <c r="D29" s="1" t="s">
        <v>62</v>
      </c>
      <c r="E29" t="s">
        <v>11</v>
      </c>
      <c r="H29" s="1" t="s">
        <v>52</v>
      </c>
      <c r="I29" s="1" t="s">
        <v>53</v>
      </c>
      <c r="J29" s="1" t="s">
        <v>54</v>
      </c>
      <c r="K29" s="1" t="s">
        <v>16</v>
      </c>
      <c r="L29" t="s">
        <v>21</v>
      </c>
      <c r="Q29" s="23" t="s">
        <v>17</v>
      </c>
      <c r="R29" s="25">
        <v>3</v>
      </c>
    </row>
    <row r="30" spans="1:18" x14ac:dyDescent="0.25">
      <c r="A30" s="1" t="s">
        <v>63</v>
      </c>
      <c r="B30" s="1" t="s">
        <v>64</v>
      </c>
      <c r="C30" s="1" t="s">
        <v>65</v>
      </c>
      <c r="D30" s="1" t="s">
        <v>62</v>
      </c>
      <c r="E30" t="s">
        <v>11</v>
      </c>
      <c r="H30" s="1" t="s">
        <v>55</v>
      </c>
      <c r="I30" s="1" t="s">
        <v>56</v>
      </c>
      <c r="J30" s="1" t="s">
        <v>57</v>
      </c>
      <c r="K30" s="1" t="s">
        <v>58</v>
      </c>
      <c r="L30" t="s">
        <v>11</v>
      </c>
      <c r="Q30" s="23" t="s">
        <v>116</v>
      </c>
      <c r="R30" s="25">
        <v>1</v>
      </c>
    </row>
    <row r="31" spans="1:18" x14ac:dyDescent="0.25">
      <c r="A31" s="1" t="s">
        <v>66</v>
      </c>
      <c r="B31" s="1" t="s">
        <v>67</v>
      </c>
      <c r="C31" s="1" t="s">
        <v>68</v>
      </c>
      <c r="D31" s="1" t="s">
        <v>58</v>
      </c>
      <c r="E31" t="s">
        <v>21</v>
      </c>
      <c r="H31" s="1" t="s">
        <v>59</v>
      </c>
      <c r="I31" s="1" t="s">
        <v>60</v>
      </c>
      <c r="J31" s="1" t="s">
        <v>61</v>
      </c>
      <c r="K31" s="1" t="s">
        <v>62</v>
      </c>
      <c r="L31" t="s">
        <v>11</v>
      </c>
      <c r="Q31" s="23" t="s">
        <v>118</v>
      </c>
      <c r="R31" s="25">
        <v>3</v>
      </c>
    </row>
    <row r="32" spans="1:18" x14ac:dyDescent="0.25">
      <c r="A32" s="1" t="s">
        <v>66</v>
      </c>
      <c r="B32" s="1" t="s">
        <v>67</v>
      </c>
      <c r="C32" s="1" t="s">
        <v>68</v>
      </c>
      <c r="D32" s="1" t="s">
        <v>58</v>
      </c>
      <c r="E32" t="s">
        <v>11</v>
      </c>
      <c r="H32" s="1" t="s">
        <v>59</v>
      </c>
      <c r="I32" s="1" t="s">
        <v>60</v>
      </c>
      <c r="J32" s="1" t="s">
        <v>61</v>
      </c>
      <c r="K32" s="1" t="s">
        <v>62</v>
      </c>
      <c r="L32" t="s">
        <v>11</v>
      </c>
      <c r="Q32" s="23" t="s">
        <v>92</v>
      </c>
      <c r="R32" s="25">
        <v>3</v>
      </c>
    </row>
    <row r="33" spans="1:18" x14ac:dyDescent="0.25">
      <c r="A33" s="1" t="s">
        <v>66</v>
      </c>
      <c r="B33" s="1" t="s">
        <v>67</v>
      </c>
      <c r="C33" s="1" t="s">
        <v>68</v>
      </c>
      <c r="D33" s="1" t="s">
        <v>58</v>
      </c>
      <c r="E33" t="s">
        <v>11</v>
      </c>
      <c r="H33" s="1" t="s">
        <v>63</v>
      </c>
      <c r="I33" s="1" t="s">
        <v>64</v>
      </c>
      <c r="J33" s="1" t="s">
        <v>65</v>
      </c>
      <c r="K33" s="1" t="s">
        <v>62</v>
      </c>
      <c r="L33" t="s">
        <v>11</v>
      </c>
      <c r="Q33" s="23" t="s">
        <v>104</v>
      </c>
      <c r="R33" s="25">
        <v>3</v>
      </c>
    </row>
    <row r="34" spans="1:18" x14ac:dyDescent="0.25">
      <c r="A34" s="1" t="s">
        <v>69</v>
      </c>
      <c r="B34" s="1" t="s">
        <v>70</v>
      </c>
      <c r="C34" s="1" t="s">
        <v>71</v>
      </c>
      <c r="D34" s="1" t="s">
        <v>58</v>
      </c>
      <c r="E34" t="s">
        <v>11</v>
      </c>
      <c r="H34" s="1" t="s">
        <v>66</v>
      </c>
      <c r="I34" s="1" t="s">
        <v>67</v>
      </c>
      <c r="J34" s="1" t="s">
        <v>68</v>
      </c>
      <c r="K34" s="1" t="s">
        <v>58</v>
      </c>
      <c r="L34" t="s">
        <v>21</v>
      </c>
      <c r="Q34" s="23" t="s">
        <v>66</v>
      </c>
      <c r="R34" s="25">
        <v>3</v>
      </c>
    </row>
    <row r="35" spans="1:18" x14ac:dyDescent="0.25">
      <c r="A35" s="1" t="s">
        <v>72</v>
      </c>
      <c r="B35" s="1" t="s">
        <v>73</v>
      </c>
      <c r="C35" s="1" t="s">
        <v>74</v>
      </c>
      <c r="D35" s="1" t="s">
        <v>29</v>
      </c>
      <c r="E35" t="s">
        <v>21</v>
      </c>
      <c r="Q35" s="23" t="s">
        <v>142</v>
      </c>
      <c r="R35" s="25">
        <v>2</v>
      </c>
    </row>
    <row r="36" spans="1:18" x14ac:dyDescent="0.25">
      <c r="A36" s="1" t="s">
        <v>72</v>
      </c>
      <c r="B36" s="1" t="s">
        <v>73</v>
      </c>
      <c r="C36" s="1" t="s">
        <v>74</v>
      </c>
      <c r="D36" s="1" t="s">
        <v>29</v>
      </c>
      <c r="E36" t="s">
        <v>12</v>
      </c>
      <c r="Q36" s="23" t="s">
        <v>95</v>
      </c>
      <c r="R36" s="25">
        <v>1</v>
      </c>
    </row>
    <row r="37" spans="1:18" x14ac:dyDescent="0.25">
      <c r="A37" s="1" t="s">
        <v>75</v>
      </c>
      <c r="B37" s="1" t="s">
        <v>76</v>
      </c>
      <c r="C37" s="1" t="s">
        <v>77</v>
      </c>
      <c r="D37" s="1" t="s">
        <v>78</v>
      </c>
      <c r="E37" t="s">
        <v>21</v>
      </c>
      <c r="I37" s="1" t="s">
        <v>79</v>
      </c>
      <c r="Q37" s="23" t="s">
        <v>75</v>
      </c>
      <c r="R37" s="25">
        <v>3</v>
      </c>
    </row>
    <row r="38" spans="1:18" x14ac:dyDescent="0.25">
      <c r="A38" s="1" t="s">
        <v>75</v>
      </c>
      <c r="B38" s="1" t="s">
        <v>76</v>
      </c>
      <c r="C38" s="1" t="s">
        <v>77</v>
      </c>
      <c r="D38" s="1" t="s">
        <v>78</v>
      </c>
      <c r="E38" t="s">
        <v>12</v>
      </c>
      <c r="I38" t="str">
        <f>VLOOKUP(H27,H5:J34,3,0)</f>
        <v>Raleigh</v>
      </c>
      <c r="Q38" s="23" t="s">
        <v>39</v>
      </c>
      <c r="R38" s="25">
        <v>1</v>
      </c>
    </row>
    <row r="39" spans="1:18" x14ac:dyDescent="0.25">
      <c r="A39" s="1" t="s">
        <v>75</v>
      </c>
      <c r="B39" s="1" t="s">
        <v>76</v>
      </c>
      <c r="C39" s="1" t="s">
        <v>77</v>
      </c>
      <c r="D39" s="1" t="s">
        <v>78</v>
      </c>
      <c r="E39" t="s">
        <v>12</v>
      </c>
      <c r="Q39" s="23" t="s">
        <v>26</v>
      </c>
      <c r="R39" s="25">
        <v>1</v>
      </c>
    </row>
    <row r="40" spans="1:18" x14ac:dyDescent="0.25">
      <c r="A40" s="1" t="s">
        <v>80</v>
      </c>
      <c r="B40" s="1" t="s">
        <v>81</v>
      </c>
      <c r="C40" s="1" t="s">
        <v>82</v>
      </c>
      <c r="D40" s="1" t="s">
        <v>83</v>
      </c>
      <c r="E40" t="s">
        <v>11</v>
      </c>
      <c r="Q40" s="23" t="s">
        <v>90</v>
      </c>
      <c r="R40" s="25">
        <v>2</v>
      </c>
    </row>
    <row r="41" spans="1:18" x14ac:dyDescent="0.25">
      <c r="A41" s="1" t="s">
        <v>84</v>
      </c>
      <c r="B41" s="1" t="s">
        <v>85</v>
      </c>
      <c r="C41" s="1" t="s">
        <v>86</v>
      </c>
      <c r="D41" s="1" t="s">
        <v>87</v>
      </c>
      <c r="E41" t="s">
        <v>11</v>
      </c>
      <c r="Q41" s="23" t="s">
        <v>109</v>
      </c>
      <c r="R41" s="25">
        <v>2</v>
      </c>
    </row>
    <row r="42" spans="1:18" x14ac:dyDescent="0.25">
      <c r="A42" s="1" t="s">
        <v>84</v>
      </c>
      <c r="B42" s="1" t="s">
        <v>85</v>
      </c>
      <c r="C42" s="1" t="s">
        <v>86</v>
      </c>
      <c r="D42" s="1" t="s">
        <v>87</v>
      </c>
      <c r="E42" t="s">
        <v>11</v>
      </c>
      <c r="Q42" s="23" t="s">
        <v>138</v>
      </c>
      <c r="R42" s="25">
        <v>1</v>
      </c>
    </row>
    <row r="43" spans="1:18" x14ac:dyDescent="0.25">
      <c r="A43" s="1" t="s">
        <v>84</v>
      </c>
      <c r="B43" s="1" t="s">
        <v>85</v>
      </c>
      <c r="C43" s="1" t="s">
        <v>86</v>
      </c>
      <c r="D43" s="1" t="s">
        <v>87</v>
      </c>
      <c r="E43" t="s">
        <v>11</v>
      </c>
      <c r="Q43" s="23" t="s">
        <v>122</v>
      </c>
      <c r="R43" s="25">
        <v>2</v>
      </c>
    </row>
    <row r="44" spans="1:18" x14ac:dyDescent="0.25">
      <c r="A44" s="1" t="s">
        <v>88</v>
      </c>
      <c r="B44" s="1" t="s">
        <v>89</v>
      </c>
      <c r="C44" s="1" t="s">
        <v>86</v>
      </c>
      <c r="D44" s="1" t="s">
        <v>87</v>
      </c>
      <c r="E44" t="s">
        <v>11</v>
      </c>
      <c r="Q44" s="23" t="s">
        <v>63</v>
      </c>
      <c r="R44" s="25">
        <v>1</v>
      </c>
    </row>
    <row r="45" spans="1:18" x14ac:dyDescent="0.25">
      <c r="A45" s="1" t="s">
        <v>90</v>
      </c>
      <c r="B45" s="1" t="s">
        <v>91</v>
      </c>
      <c r="C45" s="1" t="s">
        <v>15</v>
      </c>
      <c r="D45" s="1" t="s">
        <v>16</v>
      </c>
      <c r="E45" t="s">
        <v>11</v>
      </c>
      <c r="Q45" s="23" t="s">
        <v>129</v>
      </c>
      <c r="R45" s="25">
        <v>4</v>
      </c>
    </row>
    <row r="46" spans="1:18" x14ac:dyDescent="0.25">
      <c r="A46" s="1" t="s">
        <v>90</v>
      </c>
      <c r="B46" s="1" t="s">
        <v>91</v>
      </c>
      <c r="C46" s="1" t="s">
        <v>15</v>
      </c>
      <c r="D46" s="1" t="s">
        <v>16</v>
      </c>
      <c r="E46" t="s">
        <v>11</v>
      </c>
      <c r="Q46" s="23" t="s">
        <v>131</v>
      </c>
      <c r="R46" s="25">
        <v>1</v>
      </c>
    </row>
    <row r="47" spans="1:18" x14ac:dyDescent="0.25">
      <c r="A47" s="1" t="s">
        <v>92</v>
      </c>
      <c r="B47" s="1" t="s">
        <v>93</v>
      </c>
      <c r="C47" s="1" t="s">
        <v>74</v>
      </c>
      <c r="D47" s="1" t="s">
        <v>94</v>
      </c>
      <c r="E47" t="s">
        <v>12</v>
      </c>
      <c r="Q47" s="23" t="s">
        <v>45</v>
      </c>
      <c r="R47" s="25">
        <v>2</v>
      </c>
    </row>
    <row r="48" spans="1:18" x14ac:dyDescent="0.25">
      <c r="A48" s="1" t="s">
        <v>92</v>
      </c>
      <c r="B48" s="1" t="s">
        <v>93</v>
      </c>
      <c r="C48" s="1" t="s">
        <v>74</v>
      </c>
      <c r="D48" s="1" t="s">
        <v>94</v>
      </c>
      <c r="E48" t="s">
        <v>11</v>
      </c>
      <c r="Q48" s="23" t="s">
        <v>59</v>
      </c>
      <c r="R48" s="25">
        <v>2</v>
      </c>
    </row>
    <row r="49" spans="1:18" x14ac:dyDescent="0.25">
      <c r="A49" s="1" t="s">
        <v>92</v>
      </c>
      <c r="B49" s="1" t="s">
        <v>93</v>
      </c>
      <c r="C49" s="1" t="s">
        <v>74</v>
      </c>
      <c r="D49" s="1" t="s">
        <v>94</v>
      </c>
      <c r="E49" t="s">
        <v>11</v>
      </c>
      <c r="Q49" s="23" t="s">
        <v>52</v>
      </c>
      <c r="R49" s="25">
        <v>2</v>
      </c>
    </row>
    <row r="50" spans="1:18" x14ac:dyDescent="0.25">
      <c r="A50" s="1" t="s">
        <v>95</v>
      </c>
      <c r="B50" s="1" t="s">
        <v>96</v>
      </c>
      <c r="C50" s="1" t="s">
        <v>71</v>
      </c>
      <c r="D50" s="1" t="s">
        <v>97</v>
      </c>
      <c r="E50" t="s">
        <v>21</v>
      </c>
      <c r="Q50" s="23" t="s">
        <v>13</v>
      </c>
      <c r="R50" s="25">
        <v>1</v>
      </c>
    </row>
    <row r="51" spans="1:18" x14ac:dyDescent="0.25">
      <c r="A51" s="1" t="s">
        <v>98</v>
      </c>
      <c r="B51" s="1" t="s">
        <v>99</v>
      </c>
      <c r="C51" s="1" t="s">
        <v>100</v>
      </c>
      <c r="D51" s="1" t="s">
        <v>16</v>
      </c>
      <c r="E51" t="s">
        <v>12</v>
      </c>
      <c r="Q51" s="23" t="s">
        <v>107</v>
      </c>
      <c r="R51" s="25">
        <v>1</v>
      </c>
    </row>
    <row r="52" spans="1:18" x14ac:dyDescent="0.25">
      <c r="A52" s="1" t="s">
        <v>98</v>
      </c>
      <c r="B52" s="1" t="s">
        <v>99</v>
      </c>
      <c r="C52" s="1" t="s">
        <v>100</v>
      </c>
      <c r="D52" s="1" t="s">
        <v>16</v>
      </c>
      <c r="E52" t="s">
        <v>11</v>
      </c>
      <c r="Q52" s="23" t="s">
        <v>55</v>
      </c>
      <c r="R52" s="25">
        <v>1</v>
      </c>
    </row>
    <row r="53" spans="1:18" x14ac:dyDescent="0.25">
      <c r="A53" s="1" t="s">
        <v>101</v>
      </c>
      <c r="B53" s="1" t="s">
        <v>102</v>
      </c>
      <c r="C53" s="1" t="s">
        <v>103</v>
      </c>
      <c r="D53" s="1" t="s">
        <v>78</v>
      </c>
      <c r="E53" t="s">
        <v>21</v>
      </c>
      <c r="Q53" s="23" t="s">
        <v>69</v>
      </c>
      <c r="R53" s="25">
        <v>1</v>
      </c>
    </row>
    <row r="54" spans="1:18" x14ac:dyDescent="0.25">
      <c r="A54" s="1" t="s">
        <v>104</v>
      </c>
      <c r="B54" s="1" t="s">
        <v>105</v>
      </c>
      <c r="C54" s="1" t="s">
        <v>106</v>
      </c>
      <c r="D54" s="1" t="s">
        <v>29</v>
      </c>
      <c r="E54" t="s">
        <v>21</v>
      </c>
      <c r="Q54" s="23" t="s">
        <v>42</v>
      </c>
      <c r="R54" s="25">
        <v>2</v>
      </c>
    </row>
    <row r="55" spans="1:18" x14ac:dyDescent="0.25">
      <c r="A55" s="1" t="s">
        <v>104</v>
      </c>
      <c r="B55" s="1" t="s">
        <v>105</v>
      </c>
      <c r="C55" s="1" t="s">
        <v>106</v>
      </c>
      <c r="D55" s="1" t="s">
        <v>29</v>
      </c>
      <c r="E55" t="s">
        <v>21</v>
      </c>
      <c r="Q55" s="23" t="s">
        <v>101</v>
      </c>
      <c r="R55" s="25">
        <v>1</v>
      </c>
    </row>
    <row r="56" spans="1:18" x14ac:dyDescent="0.25">
      <c r="A56" s="1" t="s">
        <v>104</v>
      </c>
      <c r="B56" s="1" t="s">
        <v>105</v>
      </c>
      <c r="C56" s="1" t="s">
        <v>106</v>
      </c>
      <c r="D56" s="1" t="s">
        <v>29</v>
      </c>
      <c r="E56" t="s">
        <v>21</v>
      </c>
      <c r="Q56" s="23" t="s">
        <v>80</v>
      </c>
      <c r="R56" s="25">
        <v>1</v>
      </c>
    </row>
    <row r="57" spans="1:18" x14ac:dyDescent="0.25">
      <c r="A57" s="1" t="s">
        <v>35</v>
      </c>
      <c r="B57" s="1" t="s">
        <v>36</v>
      </c>
      <c r="C57" s="1" t="s">
        <v>61</v>
      </c>
      <c r="D57" s="1" t="s">
        <v>62</v>
      </c>
      <c r="E57" t="s">
        <v>12</v>
      </c>
      <c r="Q57" s="23" t="s">
        <v>134</v>
      </c>
      <c r="R57" s="25">
        <v>3</v>
      </c>
    </row>
    <row r="58" spans="1:18" x14ac:dyDescent="0.25">
      <c r="A58" s="1" t="s">
        <v>107</v>
      </c>
      <c r="B58" s="1" t="s">
        <v>108</v>
      </c>
      <c r="C58" s="1" t="s">
        <v>61</v>
      </c>
      <c r="D58" s="1" t="s">
        <v>62</v>
      </c>
      <c r="E58" t="s">
        <v>11</v>
      </c>
      <c r="Q58" s="23" t="s">
        <v>136</v>
      </c>
      <c r="R58" s="25">
        <v>2</v>
      </c>
    </row>
    <row r="59" spans="1:18" x14ac:dyDescent="0.25">
      <c r="A59" s="1" t="s">
        <v>109</v>
      </c>
      <c r="B59" s="1" t="s">
        <v>110</v>
      </c>
      <c r="C59" s="1" t="s">
        <v>100</v>
      </c>
      <c r="D59" s="1" t="s">
        <v>16</v>
      </c>
      <c r="E59" t="s">
        <v>11</v>
      </c>
      <c r="Q59" s="23" t="s">
        <v>114</v>
      </c>
      <c r="R59" s="25">
        <v>1</v>
      </c>
    </row>
    <row r="60" spans="1:18" x14ac:dyDescent="0.25">
      <c r="A60" s="1" t="s">
        <v>109</v>
      </c>
      <c r="B60" s="1" t="s">
        <v>110</v>
      </c>
      <c r="C60" s="1" t="s">
        <v>100</v>
      </c>
      <c r="D60" s="1" t="s">
        <v>16</v>
      </c>
      <c r="E60" t="s">
        <v>11</v>
      </c>
      <c r="Q60" s="23" t="s">
        <v>126</v>
      </c>
      <c r="R60" s="25">
        <v>2</v>
      </c>
    </row>
    <row r="61" spans="1:18" x14ac:dyDescent="0.25">
      <c r="A61" s="1" t="s">
        <v>111</v>
      </c>
      <c r="B61" s="1" t="s">
        <v>112</v>
      </c>
      <c r="C61" s="1" t="s">
        <v>113</v>
      </c>
      <c r="D61" s="1" t="s">
        <v>58</v>
      </c>
      <c r="E61" t="s">
        <v>11</v>
      </c>
      <c r="Q61" s="23" t="s">
        <v>98</v>
      </c>
      <c r="R61" s="25">
        <v>2</v>
      </c>
    </row>
    <row r="62" spans="1:18" x14ac:dyDescent="0.25">
      <c r="A62" s="1" t="s">
        <v>111</v>
      </c>
      <c r="B62" s="1" t="s">
        <v>112</v>
      </c>
      <c r="C62" s="1" t="s">
        <v>113</v>
      </c>
      <c r="D62" s="1" t="s">
        <v>58</v>
      </c>
      <c r="E62" t="s">
        <v>11</v>
      </c>
      <c r="Q62" s="23" t="s">
        <v>49</v>
      </c>
      <c r="R62" s="25">
        <v>3</v>
      </c>
    </row>
    <row r="63" spans="1:18" x14ac:dyDescent="0.25">
      <c r="A63" s="1" t="s">
        <v>114</v>
      </c>
      <c r="B63" s="1" t="s">
        <v>115</v>
      </c>
      <c r="C63" s="1" t="s">
        <v>86</v>
      </c>
      <c r="D63" s="1" t="s">
        <v>87</v>
      </c>
      <c r="E63" t="s">
        <v>21</v>
      </c>
      <c r="Q63" s="23" t="s">
        <v>84</v>
      </c>
      <c r="R63" s="25">
        <v>3</v>
      </c>
    </row>
    <row r="64" spans="1:18" x14ac:dyDescent="0.25">
      <c r="A64" s="1" t="s">
        <v>116</v>
      </c>
      <c r="B64" s="1" t="s">
        <v>117</v>
      </c>
      <c r="C64" s="1" t="s">
        <v>15</v>
      </c>
      <c r="D64" s="1" t="s">
        <v>16</v>
      </c>
      <c r="E64" t="s">
        <v>21</v>
      </c>
      <c r="Q64" s="23" t="s">
        <v>521</v>
      </c>
      <c r="R64" s="25">
        <v>83</v>
      </c>
    </row>
    <row r="65" spans="1:5" x14ac:dyDescent="0.25">
      <c r="A65" s="1" t="s">
        <v>118</v>
      </c>
      <c r="B65" s="1" t="s">
        <v>119</v>
      </c>
      <c r="C65" s="1" t="s">
        <v>120</v>
      </c>
      <c r="D65" s="1" t="s">
        <v>121</v>
      </c>
      <c r="E65" t="s">
        <v>21</v>
      </c>
    </row>
    <row r="66" spans="1:5" x14ac:dyDescent="0.25">
      <c r="A66" s="1" t="s">
        <v>118</v>
      </c>
      <c r="B66" s="1" t="s">
        <v>119</v>
      </c>
      <c r="C66" s="1" t="s">
        <v>120</v>
      </c>
      <c r="D66" s="1" t="s">
        <v>121</v>
      </c>
      <c r="E66" t="s">
        <v>11</v>
      </c>
    </row>
    <row r="67" spans="1:5" x14ac:dyDescent="0.25">
      <c r="A67" s="1" t="s">
        <v>118</v>
      </c>
      <c r="B67" s="1" t="s">
        <v>119</v>
      </c>
      <c r="C67" s="1" t="s">
        <v>120</v>
      </c>
      <c r="D67" s="1" t="s">
        <v>121</v>
      </c>
      <c r="E67" t="s">
        <v>11</v>
      </c>
    </row>
    <row r="68" spans="1:5" x14ac:dyDescent="0.25">
      <c r="A68" s="1" t="s">
        <v>122</v>
      </c>
      <c r="B68" s="1" t="s">
        <v>123</v>
      </c>
      <c r="C68" s="1" t="s">
        <v>124</v>
      </c>
      <c r="D68" s="1" t="s">
        <v>125</v>
      </c>
      <c r="E68" t="s">
        <v>11</v>
      </c>
    </row>
    <row r="69" spans="1:5" x14ac:dyDescent="0.25">
      <c r="A69" s="1" t="s">
        <v>126</v>
      </c>
      <c r="B69" s="1" t="s">
        <v>127</v>
      </c>
      <c r="C69" s="1" t="s">
        <v>128</v>
      </c>
      <c r="D69" s="1" t="s">
        <v>78</v>
      </c>
      <c r="E69" t="s">
        <v>11</v>
      </c>
    </row>
    <row r="70" spans="1:5" x14ac:dyDescent="0.25">
      <c r="A70" s="1" t="s">
        <v>126</v>
      </c>
      <c r="B70" s="1" t="s">
        <v>127</v>
      </c>
      <c r="C70" s="1" t="s">
        <v>128</v>
      </c>
      <c r="D70" s="1" t="s">
        <v>78</v>
      </c>
      <c r="E70" t="s">
        <v>21</v>
      </c>
    </row>
    <row r="71" spans="1:5" x14ac:dyDescent="0.25">
      <c r="A71" s="1" t="s">
        <v>129</v>
      </c>
      <c r="B71" s="1" t="s">
        <v>130</v>
      </c>
      <c r="C71" s="1" t="s">
        <v>86</v>
      </c>
      <c r="D71" s="1" t="s">
        <v>87</v>
      </c>
      <c r="E71" t="s">
        <v>12</v>
      </c>
    </row>
    <row r="72" spans="1:5" x14ac:dyDescent="0.25">
      <c r="A72" s="1" t="s">
        <v>129</v>
      </c>
      <c r="B72" s="1" t="s">
        <v>130</v>
      </c>
      <c r="C72" s="1" t="s">
        <v>86</v>
      </c>
      <c r="D72" s="1" t="s">
        <v>87</v>
      </c>
      <c r="E72" t="s">
        <v>21</v>
      </c>
    </row>
    <row r="73" spans="1:5" x14ac:dyDescent="0.25">
      <c r="A73" s="1" t="s">
        <v>129</v>
      </c>
      <c r="B73" s="1" t="s">
        <v>130</v>
      </c>
      <c r="C73" s="1" t="s">
        <v>86</v>
      </c>
      <c r="D73" s="1" t="s">
        <v>87</v>
      </c>
      <c r="E73" t="s">
        <v>11</v>
      </c>
    </row>
    <row r="74" spans="1:5" x14ac:dyDescent="0.25">
      <c r="A74" s="1" t="s">
        <v>129</v>
      </c>
      <c r="B74" s="1" t="s">
        <v>130</v>
      </c>
      <c r="C74" s="1" t="s">
        <v>86</v>
      </c>
      <c r="D74" s="1" t="s">
        <v>87</v>
      </c>
      <c r="E74" t="s">
        <v>11</v>
      </c>
    </row>
    <row r="75" spans="1:5" x14ac:dyDescent="0.25">
      <c r="A75" s="1" t="s">
        <v>122</v>
      </c>
      <c r="B75" s="1" t="s">
        <v>123</v>
      </c>
      <c r="C75" s="1" t="s">
        <v>15</v>
      </c>
      <c r="D75" s="1" t="s">
        <v>16</v>
      </c>
      <c r="E75" t="s">
        <v>12</v>
      </c>
    </row>
    <row r="76" spans="1:5" x14ac:dyDescent="0.25">
      <c r="A76" s="1" t="s">
        <v>131</v>
      </c>
      <c r="B76" s="1" t="s">
        <v>132</v>
      </c>
      <c r="C76" s="1" t="s">
        <v>133</v>
      </c>
      <c r="D76" s="1" t="s">
        <v>16</v>
      </c>
      <c r="E76" t="s">
        <v>11</v>
      </c>
    </row>
    <row r="77" spans="1:5" x14ac:dyDescent="0.25">
      <c r="A77" s="1" t="s">
        <v>134</v>
      </c>
      <c r="B77" s="1" t="s">
        <v>135</v>
      </c>
      <c r="C77" s="1" t="s">
        <v>133</v>
      </c>
      <c r="D77" s="1" t="s">
        <v>16</v>
      </c>
      <c r="E77" t="s">
        <v>11</v>
      </c>
    </row>
    <row r="78" spans="1:5" x14ac:dyDescent="0.25">
      <c r="A78" s="1" t="s">
        <v>134</v>
      </c>
      <c r="B78" s="1" t="s">
        <v>135</v>
      </c>
      <c r="C78" s="1" t="s">
        <v>133</v>
      </c>
      <c r="D78" s="1" t="s">
        <v>16</v>
      </c>
      <c r="E78" t="s">
        <v>11</v>
      </c>
    </row>
    <row r="79" spans="1:5" x14ac:dyDescent="0.25">
      <c r="A79" s="1" t="s">
        <v>134</v>
      </c>
      <c r="B79" s="1" t="s">
        <v>135</v>
      </c>
      <c r="C79" s="1" t="s">
        <v>133</v>
      </c>
      <c r="D79" s="1" t="s">
        <v>16</v>
      </c>
      <c r="E79" t="s">
        <v>12</v>
      </c>
    </row>
    <row r="80" spans="1:5" x14ac:dyDescent="0.25">
      <c r="A80" s="1" t="s">
        <v>136</v>
      </c>
      <c r="B80" s="1" t="s">
        <v>137</v>
      </c>
      <c r="C80" s="1" t="s">
        <v>61</v>
      </c>
      <c r="D80" s="1" t="s">
        <v>62</v>
      </c>
      <c r="E80" t="s">
        <v>11</v>
      </c>
    </row>
    <row r="81" spans="1:5" x14ac:dyDescent="0.25">
      <c r="A81" s="1" t="s">
        <v>136</v>
      </c>
      <c r="B81" s="1" t="s">
        <v>137</v>
      </c>
      <c r="C81" s="1" t="s">
        <v>61</v>
      </c>
      <c r="D81" s="1" t="s">
        <v>62</v>
      </c>
      <c r="E81" t="s">
        <v>12</v>
      </c>
    </row>
    <row r="82" spans="1:5" x14ac:dyDescent="0.25">
      <c r="A82" s="1" t="s">
        <v>138</v>
      </c>
      <c r="B82" s="1" t="s">
        <v>139</v>
      </c>
      <c r="C82" s="1" t="s">
        <v>140</v>
      </c>
      <c r="D82" s="1" t="s">
        <v>141</v>
      </c>
      <c r="E82" t="s">
        <v>12</v>
      </c>
    </row>
    <row r="83" spans="1:5" x14ac:dyDescent="0.25">
      <c r="A83" s="1" t="s">
        <v>142</v>
      </c>
      <c r="B83" s="1" t="s">
        <v>143</v>
      </c>
      <c r="C83" s="1" t="s">
        <v>144</v>
      </c>
      <c r="D83" s="1" t="s">
        <v>141</v>
      </c>
      <c r="E83" t="s">
        <v>21</v>
      </c>
    </row>
    <row r="84" spans="1:5" x14ac:dyDescent="0.25">
      <c r="A84" s="1" t="s">
        <v>142</v>
      </c>
      <c r="B84" s="1" t="s">
        <v>143</v>
      </c>
      <c r="C84" s="1" t="s">
        <v>144</v>
      </c>
      <c r="D84" s="1" t="s">
        <v>141</v>
      </c>
      <c r="E84" t="s">
        <v>12</v>
      </c>
    </row>
    <row r="85" spans="1:5" x14ac:dyDescent="0.25">
      <c r="A85" s="1" t="s">
        <v>142</v>
      </c>
      <c r="B85" s="1" t="s">
        <v>143</v>
      </c>
      <c r="C85" s="1" t="s">
        <v>144</v>
      </c>
      <c r="D85" s="1" t="s">
        <v>141</v>
      </c>
      <c r="E85" t="s">
        <v>21</v>
      </c>
    </row>
    <row r="86" spans="1:5" x14ac:dyDescent="0.25">
      <c r="A86" s="1" t="s">
        <v>145</v>
      </c>
      <c r="B86" s="1" t="s">
        <v>146</v>
      </c>
      <c r="C86" s="1" t="s">
        <v>15</v>
      </c>
      <c r="D86" s="1" t="s">
        <v>16</v>
      </c>
      <c r="E86" t="s">
        <v>11</v>
      </c>
    </row>
    <row r="87" spans="1:5" x14ac:dyDescent="0.25">
      <c r="A87" s="1" t="s">
        <v>145</v>
      </c>
      <c r="B87" s="1" t="s">
        <v>146</v>
      </c>
      <c r="C87" s="1" t="s">
        <v>15</v>
      </c>
      <c r="D87" s="1" t="s">
        <v>16</v>
      </c>
      <c r="E87" t="s">
        <v>21</v>
      </c>
    </row>
    <row r="88" spans="1:5" x14ac:dyDescent="0.25">
      <c r="A88" s="1" t="s">
        <v>147</v>
      </c>
      <c r="B88" s="1" t="s">
        <v>148</v>
      </c>
      <c r="C88" s="1" t="s">
        <v>149</v>
      </c>
      <c r="D88" s="1" t="s">
        <v>20</v>
      </c>
      <c r="E88" t="s">
        <v>11</v>
      </c>
    </row>
    <row r="89" spans="1:5" x14ac:dyDescent="0.25">
      <c r="A89" s="1" t="s">
        <v>150</v>
      </c>
      <c r="B89" s="1" t="s">
        <v>151</v>
      </c>
      <c r="C89" s="1" t="s">
        <v>152</v>
      </c>
      <c r="D89" s="1" t="s">
        <v>78</v>
      </c>
      <c r="E89" t="s">
        <v>21</v>
      </c>
    </row>
    <row r="90" spans="1:5" x14ac:dyDescent="0.25">
      <c r="A90" s="1" t="s">
        <v>153</v>
      </c>
      <c r="B90" s="1" t="s">
        <v>154</v>
      </c>
      <c r="C90" s="1" t="s">
        <v>155</v>
      </c>
      <c r="D90" s="1" t="s">
        <v>97</v>
      </c>
      <c r="E90" t="s">
        <v>12</v>
      </c>
    </row>
    <row r="91" spans="1:5" x14ac:dyDescent="0.25">
      <c r="A91" s="1" t="s">
        <v>153</v>
      </c>
      <c r="B91" s="1" t="s">
        <v>154</v>
      </c>
      <c r="C91" s="1" t="s">
        <v>155</v>
      </c>
      <c r="D91" s="1" t="s">
        <v>97</v>
      </c>
      <c r="E91" t="s">
        <v>12</v>
      </c>
    </row>
    <row r="92" spans="1:5" x14ac:dyDescent="0.25">
      <c r="A92" s="1" t="s">
        <v>156</v>
      </c>
      <c r="B92" s="1" t="s">
        <v>157</v>
      </c>
      <c r="C92" s="1" t="s">
        <v>158</v>
      </c>
      <c r="D92" s="1" t="s">
        <v>159</v>
      </c>
      <c r="E92" t="s">
        <v>11</v>
      </c>
    </row>
    <row r="93" spans="1:5" x14ac:dyDescent="0.25">
      <c r="A93" s="1" t="s">
        <v>160</v>
      </c>
      <c r="B93" s="1" t="s">
        <v>161</v>
      </c>
      <c r="C93" s="1" t="s">
        <v>15</v>
      </c>
      <c r="D93" s="1" t="s">
        <v>16</v>
      </c>
      <c r="E93" t="s">
        <v>11</v>
      </c>
    </row>
    <row r="94" spans="1:5" x14ac:dyDescent="0.25">
      <c r="A94" s="1" t="s">
        <v>162</v>
      </c>
      <c r="B94" s="1" t="s">
        <v>163</v>
      </c>
      <c r="C94" s="1" t="s">
        <v>86</v>
      </c>
      <c r="D94" s="1" t="s">
        <v>87</v>
      </c>
      <c r="E94" t="s">
        <v>11</v>
      </c>
    </row>
    <row r="95" spans="1:5" x14ac:dyDescent="0.25">
      <c r="A95" s="1" t="s">
        <v>164</v>
      </c>
      <c r="B95" s="1" t="s">
        <v>165</v>
      </c>
      <c r="C95" s="1" t="s">
        <v>158</v>
      </c>
      <c r="D95" s="1" t="s">
        <v>159</v>
      </c>
      <c r="E95" t="s">
        <v>11</v>
      </c>
    </row>
    <row r="96" spans="1:5" x14ac:dyDescent="0.25">
      <c r="A96" s="1" t="s">
        <v>164</v>
      </c>
      <c r="B96" s="1" t="s">
        <v>165</v>
      </c>
      <c r="C96" s="1" t="s">
        <v>158</v>
      </c>
      <c r="D96" s="1" t="s">
        <v>159</v>
      </c>
      <c r="E96" t="s">
        <v>21</v>
      </c>
    </row>
    <row r="97" spans="1:5" x14ac:dyDescent="0.25">
      <c r="A97" s="1" t="s">
        <v>164</v>
      </c>
      <c r="B97" s="1" t="s">
        <v>165</v>
      </c>
      <c r="C97" s="1" t="s">
        <v>158</v>
      </c>
      <c r="D97" s="1" t="s">
        <v>159</v>
      </c>
      <c r="E97" t="s">
        <v>11</v>
      </c>
    </row>
    <row r="98" spans="1:5" x14ac:dyDescent="0.25">
      <c r="A98" s="1" t="s">
        <v>166</v>
      </c>
      <c r="B98" s="1" t="s">
        <v>167</v>
      </c>
      <c r="C98" s="1" t="s">
        <v>168</v>
      </c>
      <c r="D98" s="1" t="s">
        <v>20</v>
      </c>
      <c r="E98" t="s">
        <v>21</v>
      </c>
    </row>
    <row r="99" spans="1:5" x14ac:dyDescent="0.25">
      <c r="A99" s="1" t="s">
        <v>169</v>
      </c>
      <c r="B99" s="1" t="s">
        <v>170</v>
      </c>
      <c r="C99" s="1" t="s">
        <v>171</v>
      </c>
      <c r="D99" s="1" t="s">
        <v>172</v>
      </c>
      <c r="E99" t="s">
        <v>12</v>
      </c>
    </row>
    <row r="100" spans="1:5" x14ac:dyDescent="0.25">
      <c r="A100" s="1" t="s">
        <v>173</v>
      </c>
      <c r="B100" s="1" t="s">
        <v>174</v>
      </c>
      <c r="C100" s="1" t="s">
        <v>175</v>
      </c>
      <c r="D100" s="1" t="s">
        <v>176</v>
      </c>
      <c r="E100" t="s">
        <v>11</v>
      </c>
    </row>
  </sheetData>
  <mergeCells count="2">
    <mergeCell ref="I1:K2"/>
    <mergeCell ref="P1:S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42E50-1428-4AAE-A863-34E3D27F7FF4}">
  <dimension ref="A1:X100"/>
  <sheetViews>
    <sheetView topLeftCell="E18" zoomScale="43" workbookViewId="0">
      <selection activeCell="G32" sqref="G32"/>
    </sheetView>
  </sheetViews>
  <sheetFormatPr defaultRowHeight="15" x14ac:dyDescent="0.25"/>
  <cols>
    <col min="1" max="1" width="17.85546875" customWidth="1"/>
    <col min="2" max="2" width="61.140625" customWidth="1"/>
    <col min="3" max="3" width="15.140625" customWidth="1"/>
    <col min="4" max="4" width="12.42578125" customWidth="1"/>
    <col min="7" max="7" width="16.42578125" customWidth="1"/>
    <col min="8" max="8" width="13" customWidth="1"/>
    <col min="9" max="9" width="12.7109375" customWidth="1"/>
    <col min="10" max="10" width="14.28515625" customWidth="1"/>
    <col min="13" max="13" width="27" bestFit="1" customWidth="1"/>
    <col min="14" max="14" width="24.7109375" bestFit="1" customWidth="1"/>
    <col min="15" max="15" width="21.42578125" bestFit="1" customWidth="1"/>
    <col min="16" max="16" width="15.7109375" bestFit="1" customWidth="1"/>
    <col min="17" max="17" width="16.42578125" bestFit="1" customWidth="1"/>
    <col min="18" max="18" width="15.140625" customWidth="1"/>
    <col min="19" max="19" width="16.28515625" customWidth="1"/>
    <col min="20" max="20" width="14.85546875" customWidth="1"/>
    <col min="21" max="21" width="14.42578125" customWidth="1"/>
    <col min="22" max="22" width="14" customWidth="1"/>
    <col min="23" max="23" width="12.7109375" customWidth="1"/>
    <col min="24" max="24" width="13.42578125" customWidth="1"/>
    <col min="25" max="25" width="24" customWidth="1"/>
  </cols>
  <sheetData>
    <row r="1" spans="1:24" x14ac:dyDescent="0.25">
      <c r="A1" s="1" t="s">
        <v>177</v>
      </c>
      <c r="B1" s="1" t="s">
        <v>178</v>
      </c>
      <c r="C1" s="1" t="s">
        <v>179</v>
      </c>
      <c r="D1" t="s">
        <v>180</v>
      </c>
      <c r="G1" s="5" t="s">
        <v>5</v>
      </c>
      <c r="H1" s="6"/>
      <c r="I1" s="6"/>
      <c r="J1" s="6"/>
      <c r="M1" s="4" t="s">
        <v>6</v>
      </c>
      <c r="N1" s="7"/>
      <c r="O1" s="7"/>
    </row>
    <row r="2" spans="1:24" x14ac:dyDescent="0.25">
      <c r="A2" s="1" t="s">
        <v>181</v>
      </c>
      <c r="B2" s="1" t="s">
        <v>182</v>
      </c>
      <c r="C2" s="1" t="s">
        <v>183</v>
      </c>
      <c r="D2" t="s">
        <v>184</v>
      </c>
      <c r="G2" s="6"/>
      <c r="H2" s="6"/>
      <c r="I2" s="6"/>
      <c r="J2" s="6"/>
      <c r="M2" s="7"/>
      <c r="N2" s="7"/>
      <c r="O2" s="7"/>
    </row>
    <row r="3" spans="1:24" x14ac:dyDescent="0.25">
      <c r="A3" s="1" t="s">
        <v>181</v>
      </c>
      <c r="B3" s="1" t="s">
        <v>182</v>
      </c>
      <c r="C3" s="1" t="s">
        <v>183</v>
      </c>
      <c r="D3" t="s">
        <v>185</v>
      </c>
      <c r="G3" s="6"/>
      <c r="H3" s="6"/>
      <c r="I3" s="6"/>
      <c r="J3" s="6"/>
      <c r="M3" s="7"/>
      <c r="N3" s="7"/>
      <c r="O3" s="7"/>
    </row>
    <row r="4" spans="1:24" x14ac:dyDescent="0.25">
      <c r="A4" s="1" t="s">
        <v>186</v>
      </c>
      <c r="B4" s="1" t="s">
        <v>187</v>
      </c>
      <c r="C4" s="1" t="s">
        <v>188</v>
      </c>
      <c r="D4" t="s">
        <v>189</v>
      </c>
      <c r="G4" s="1"/>
      <c r="H4" s="1"/>
      <c r="I4" s="1"/>
    </row>
    <row r="5" spans="1:24" x14ac:dyDescent="0.25">
      <c r="A5" s="1" t="s">
        <v>190</v>
      </c>
      <c r="B5" s="1" t="s">
        <v>191</v>
      </c>
      <c r="C5" s="1" t="s">
        <v>192</v>
      </c>
      <c r="D5" t="s">
        <v>193</v>
      </c>
      <c r="G5" s="1" t="s">
        <v>177</v>
      </c>
      <c r="H5" s="1" t="s">
        <v>178</v>
      </c>
      <c r="I5" s="1" t="s">
        <v>179</v>
      </c>
      <c r="J5" t="s">
        <v>194</v>
      </c>
      <c r="M5" t="str" cm="1">
        <f t="array" ref="M5:X8">TRANSPOSE(G5:J16)</f>
        <v>Product ID</v>
      </c>
      <c r="N5" t="str">
        <v>FUR-BO-10004709</v>
      </c>
      <c r="O5" t="str">
        <v>FUR-BO-10004709</v>
      </c>
      <c r="P5" t="str">
        <v>TEC-PH-10000455</v>
      </c>
      <c r="Q5" t="str">
        <v>OFF-ST-10003692</v>
      </c>
      <c r="R5" t="str">
        <v>TEC-AC-10002217</v>
      </c>
      <c r="S5" t="str">
        <v>TEC-AC-10002942</v>
      </c>
      <c r="T5" t="str">
        <v>TEC-PH-10002890</v>
      </c>
      <c r="U5" t="str">
        <v>FUR-TA-10000617</v>
      </c>
      <c r="V5" t="str">
        <v>OFF-BI-10004364</v>
      </c>
      <c r="W5" t="str">
        <v>TEC-CO-10000971</v>
      </c>
      <c r="X5" t="str">
        <v>OFF-AR-10004078</v>
      </c>
    </row>
    <row r="6" spans="1:24" x14ac:dyDescent="0.25">
      <c r="A6" s="1" t="s">
        <v>195</v>
      </c>
      <c r="B6" s="1" t="s">
        <v>196</v>
      </c>
      <c r="C6" s="1" t="s">
        <v>188</v>
      </c>
      <c r="D6" t="s">
        <v>197</v>
      </c>
      <c r="G6" s="1" t="s">
        <v>181</v>
      </c>
      <c r="H6" s="1" t="s">
        <v>182</v>
      </c>
      <c r="I6" s="1" t="s">
        <v>183</v>
      </c>
      <c r="J6" t="s">
        <v>184</v>
      </c>
      <c r="M6" t="str">
        <v>Product Name</v>
      </c>
      <c r="N6" t="str">
        <v>Bush Westfield Collection Bookcases, Medium Cherry Finish</v>
      </c>
      <c r="O6" t="str">
        <v>Bush Westfield Collection Bookcases, Medium Cherry Finish</v>
      </c>
      <c r="P6" t="str">
        <v>GE 30522EE2</v>
      </c>
      <c r="Q6" t="str">
        <v>Recycled Steel Personal File for Hanging File Folders</v>
      </c>
      <c r="R6" t="str">
        <v>Imation Clip USB flash drive - 8 GB</v>
      </c>
      <c r="S6" t="str">
        <v>WD My Passport Ultra 1TB Portable External Hard Drive</v>
      </c>
      <c r="T6" t="str">
        <v>AT&amp;T 17929 Lendline Telephone</v>
      </c>
      <c r="U6" t="str">
        <v>Hon Practical Foundations 30 x 60 Training Table, Light Gray/Charcoal</v>
      </c>
      <c r="V6" t="str">
        <v>Storex Dura Pro Binders</v>
      </c>
      <c r="W6" t="str">
        <v>Hewlett Packard 310 Color Digital Copier</v>
      </c>
      <c r="X6" t="str">
        <v>Newell 312</v>
      </c>
    </row>
    <row r="7" spans="1:24" x14ac:dyDescent="0.25">
      <c r="A7" s="1" t="s">
        <v>198</v>
      </c>
      <c r="B7" s="1" t="s">
        <v>199</v>
      </c>
      <c r="C7" s="1" t="s">
        <v>188</v>
      </c>
      <c r="D7" t="s">
        <v>200</v>
      </c>
      <c r="G7" s="1" t="s">
        <v>181</v>
      </c>
      <c r="H7" s="1" t="s">
        <v>182</v>
      </c>
      <c r="I7" s="1" t="s">
        <v>183</v>
      </c>
      <c r="J7" t="s">
        <v>185</v>
      </c>
      <c r="M7" t="str">
        <v>Category</v>
      </c>
      <c r="N7" t="str">
        <v>Furniture</v>
      </c>
      <c r="O7" t="str">
        <v>Furniture</v>
      </c>
      <c r="P7" t="str">
        <v>Technology</v>
      </c>
      <c r="Q7" t="str">
        <v>Office Supplies</v>
      </c>
      <c r="R7" t="str">
        <v>Technology</v>
      </c>
      <c r="S7" t="str">
        <v>Technology</v>
      </c>
      <c r="T7" t="str">
        <v>Technology</v>
      </c>
      <c r="U7" t="str">
        <v>Furniture</v>
      </c>
      <c r="V7" t="str">
        <v>Office Supplies</v>
      </c>
      <c r="W7" t="str">
        <v>Technology</v>
      </c>
      <c r="X7" t="str">
        <v>Office Supplies</v>
      </c>
    </row>
    <row r="8" spans="1:24" x14ac:dyDescent="0.25">
      <c r="A8" s="1" t="s">
        <v>201</v>
      </c>
      <c r="B8" s="1" t="s">
        <v>202</v>
      </c>
      <c r="C8" s="1" t="s">
        <v>188</v>
      </c>
      <c r="D8" t="s">
        <v>203</v>
      </c>
      <c r="G8" s="1" t="s">
        <v>186</v>
      </c>
      <c r="H8" s="1" t="s">
        <v>187</v>
      </c>
      <c r="I8" s="1" t="s">
        <v>188</v>
      </c>
      <c r="J8" t="s">
        <v>189</v>
      </c>
      <c r="M8" t="str">
        <v>Cost_Price</v>
      </c>
      <c r="N8" t="str">
        <v xml:space="preserve">$4.50 </v>
      </c>
      <c r="O8" t="str">
        <v xml:space="preserve">$20.00 </v>
      </c>
      <c r="P8" t="str">
        <v xml:space="preserve">$6.00 </v>
      </c>
      <c r="Q8" t="str">
        <v xml:space="preserve">$1.50 </v>
      </c>
      <c r="R8" t="str">
        <v xml:space="preserve">$4.00 </v>
      </c>
      <c r="S8" t="str">
        <v xml:space="preserve">$1.75 </v>
      </c>
      <c r="T8" t="str">
        <v xml:space="preserve">$2.50 </v>
      </c>
      <c r="U8" t="str">
        <v xml:space="preserve">$2.50 </v>
      </c>
      <c r="V8" t="str">
        <v xml:space="preserve">$3.00 </v>
      </c>
      <c r="W8" t="str">
        <v xml:space="preserve">$1.00 </v>
      </c>
      <c r="X8" t="str">
        <v xml:space="preserve">$1.60 </v>
      </c>
    </row>
    <row r="9" spans="1:24" x14ac:dyDescent="0.25">
      <c r="A9" s="1" t="s">
        <v>204</v>
      </c>
      <c r="B9" s="1" t="s">
        <v>205</v>
      </c>
      <c r="C9" s="1" t="s">
        <v>183</v>
      </c>
      <c r="D9" t="s">
        <v>203</v>
      </c>
      <c r="G9" s="1" t="s">
        <v>190</v>
      </c>
      <c r="H9" s="1" t="s">
        <v>191</v>
      </c>
      <c r="I9" s="1" t="s">
        <v>192</v>
      </c>
      <c r="J9" t="s">
        <v>193</v>
      </c>
    </row>
    <row r="10" spans="1:24" x14ac:dyDescent="0.25">
      <c r="A10" s="1" t="s">
        <v>206</v>
      </c>
      <c r="B10" s="1" t="s">
        <v>207</v>
      </c>
      <c r="C10" s="1" t="s">
        <v>192</v>
      </c>
      <c r="D10" t="s">
        <v>208</v>
      </c>
      <c r="G10" s="1" t="s">
        <v>195</v>
      </c>
      <c r="H10" s="1" t="s">
        <v>196</v>
      </c>
      <c r="I10" s="1" t="s">
        <v>188</v>
      </c>
      <c r="J10" t="s">
        <v>197</v>
      </c>
    </row>
    <row r="11" spans="1:24" x14ac:dyDescent="0.25">
      <c r="A11" s="1" t="s">
        <v>209</v>
      </c>
      <c r="B11" s="1" t="s">
        <v>210</v>
      </c>
      <c r="C11" s="1" t="s">
        <v>188</v>
      </c>
      <c r="D11" t="s">
        <v>211</v>
      </c>
      <c r="G11" s="1" t="s">
        <v>198</v>
      </c>
      <c r="H11" s="1" t="s">
        <v>199</v>
      </c>
      <c r="I11" s="1" t="s">
        <v>188</v>
      </c>
      <c r="J11" t="s">
        <v>200</v>
      </c>
      <c r="N11" t="s">
        <v>212</v>
      </c>
    </row>
    <row r="12" spans="1:24" x14ac:dyDescent="0.25">
      <c r="A12" s="1" t="s">
        <v>213</v>
      </c>
      <c r="B12" s="1" t="s">
        <v>214</v>
      </c>
      <c r="C12" s="1" t="s">
        <v>192</v>
      </c>
      <c r="D12" t="s">
        <v>215</v>
      </c>
      <c r="G12" s="1" t="s">
        <v>201</v>
      </c>
      <c r="H12" s="1" t="s">
        <v>202</v>
      </c>
      <c r="I12" s="1" t="s">
        <v>188</v>
      </c>
      <c r="J12" t="s">
        <v>203</v>
      </c>
      <c r="N12" t="str">
        <f>HLOOKUP(N6,M6:X8,3,0)</f>
        <v xml:space="preserve">$4.50 </v>
      </c>
    </row>
    <row r="13" spans="1:24" x14ac:dyDescent="0.25">
      <c r="A13" s="1" t="s">
        <v>216</v>
      </c>
      <c r="B13" s="1" t="s">
        <v>217</v>
      </c>
      <c r="C13" s="1" t="s">
        <v>192</v>
      </c>
      <c r="D13" t="s">
        <v>218</v>
      </c>
      <c r="G13" s="1" t="s">
        <v>204</v>
      </c>
      <c r="H13" s="1" t="s">
        <v>205</v>
      </c>
      <c r="I13" s="1" t="s">
        <v>183</v>
      </c>
      <c r="J13" t="s">
        <v>203</v>
      </c>
    </row>
    <row r="14" spans="1:24" x14ac:dyDescent="0.25">
      <c r="A14" s="1" t="s">
        <v>219</v>
      </c>
      <c r="B14" s="1" t="s">
        <v>220</v>
      </c>
      <c r="C14" s="1" t="s">
        <v>188</v>
      </c>
      <c r="D14" t="s">
        <v>208</v>
      </c>
      <c r="G14" s="1" t="s">
        <v>206</v>
      </c>
      <c r="H14" s="1" t="s">
        <v>207</v>
      </c>
      <c r="I14" s="1" t="s">
        <v>192</v>
      </c>
      <c r="J14" t="s">
        <v>208</v>
      </c>
    </row>
    <row r="15" spans="1:24" x14ac:dyDescent="0.25">
      <c r="A15" s="1" t="s">
        <v>221</v>
      </c>
      <c r="B15" s="1" t="s">
        <v>222</v>
      </c>
      <c r="C15" s="1" t="s">
        <v>192</v>
      </c>
      <c r="D15" t="s">
        <v>197</v>
      </c>
      <c r="G15" s="1" t="s">
        <v>209</v>
      </c>
      <c r="H15" s="1" t="s">
        <v>210</v>
      </c>
      <c r="I15" s="1" t="s">
        <v>188</v>
      </c>
      <c r="J15" t="s">
        <v>211</v>
      </c>
      <c r="N15" t="s">
        <v>223</v>
      </c>
    </row>
    <row r="16" spans="1:24" x14ac:dyDescent="0.25">
      <c r="A16" s="1" t="s">
        <v>224</v>
      </c>
      <c r="B16" s="1" t="s">
        <v>225</v>
      </c>
      <c r="C16" s="1" t="s">
        <v>188</v>
      </c>
      <c r="D16" t="s">
        <v>189</v>
      </c>
      <c r="G16" s="1" t="s">
        <v>213</v>
      </c>
      <c r="H16" s="1" t="s">
        <v>214</v>
      </c>
      <c r="I16" s="1" t="s">
        <v>192</v>
      </c>
      <c r="J16" t="s">
        <v>215</v>
      </c>
      <c r="N16" t="str">
        <f>HLOOKUP(O5,M5:X7,3,0)</f>
        <v>Furniture</v>
      </c>
    </row>
    <row r="17" spans="1:17" x14ac:dyDescent="0.25">
      <c r="A17" s="1" t="s">
        <v>226</v>
      </c>
      <c r="B17" s="1" t="s">
        <v>227</v>
      </c>
      <c r="C17" s="1" t="s">
        <v>192</v>
      </c>
      <c r="D17" t="s">
        <v>228</v>
      </c>
      <c r="G17" s="1" t="s">
        <v>216</v>
      </c>
      <c r="H17" s="1" t="s">
        <v>217</v>
      </c>
      <c r="I17" s="1" t="s">
        <v>192</v>
      </c>
      <c r="J17" t="s">
        <v>218</v>
      </c>
    </row>
    <row r="18" spans="1:17" x14ac:dyDescent="0.25">
      <c r="A18" s="1" t="s">
        <v>229</v>
      </c>
      <c r="B18" s="1" t="s">
        <v>230</v>
      </c>
      <c r="C18" s="1" t="s">
        <v>183</v>
      </c>
      <c r="D18" t="s">
        <v>193</v>
      </c>
      <c r="G18" s="1" t="s">
        <v>219</v>
      </c>
      <c r="H18" s="1" t="s">
        <v>220</v>
      </c>
      <c r="I18" s="1" t="s">
        <v>188</v>
      </c>
      <c r="J18" t="s">
        <v>208</v>
      </c>
    </row>
    <row r="19" spans="1:17" x14ac:dyDescent="0.25">
      <c r="A19" s="1" t="s">
        <v>231</v>
      </c>
      <c r="B19" s="1" t="s">
        <v>232</v>
      </c>
      <c r="C19" s="1" t="s">
        <v>192</v>
      </c>
      <c r="D19" t="s">
        <v>233</v>
      </c>
      <c r="G19" s="1" t="s">
        <v>221</v>
      </c>
      <c r="H19" s="1" t="s">
        <v>222</v>
      </c>
      <c r="I19" s="1" t="s">
        <v>192</v>
      </c>
      <c r="J19" t="s">
        <v>197</v>
      </c>
    </row>
    <row r="20" spans="1:17" x14ac:dyDescent="0.25">
      <c r="A20" s="1" t="s">
        <v>234</v>
      </c>
      <c r="B20" s="1" t="s">
        <v>235</v>
      </c>
      <c r="C20" s="1" t="s">
        <v>183</v>
      </c>
      <c r="D20" t="s">
        <v>185</v>
      </c>
      <c r="G20" s="1" t="s">
        <v>224</v>
      </c>
      <c r="H20" s="1" t="s">
        <v>225</v>
      </c>
      <c r="I20" s="1" t="s">
        <v>188</v>
      </c>
      <c r="J20" t="s">
        <v>189</v>
      </c>
    </row>
    <row r="21" spans="1:17" x14ac:dyDescent="0.25">
      <c r="A21" s="1" t="s">
        <v>236</v>
      </c>
      <c r="B21" s="1" t="s">
        <v>237</v>
      </c>
      <c r="C21" s="1" t="s">
        <v>192</v>
      </c>
      <c r="D21" t="s">
        <v>218</v>
      </c>
      <c r="G21" s="1" t="s">
        <v>226</v>
      </c>
      <c r="H21" s="1" t="s">
        <v>227</v>
      </c>
      <c r="I21" s="1" t="s">
        <v>192</v>
      </c>
      <c r="J21" t="s">
        <v>228</v>
      </c>
      <c r="M21" s="24" t="s">
        <v>178</v>
      </c>
      <c r="N21" t="s">
        <v>518</v>
      </c>
    </row>
    <row r="22" spans="1:17" x14ac:dyDescent="0.25">
      <c r="A22" s="1" t="s">
        <v>238</v>
      </c>
      <c r="B22" s="1" t="s">
        <v>239</v>
      </c>
      <c r="C22" s="1" t="s">
        <v>192</v>
      </c>
      <c r="D22" t="s">
        <v>203</v>
      </c>
      <c r="G22" s="1" t="s">
        <v>229</v>
      </c>
      <c r="H22" s="1" t="s">
        <v>230</v>
      </c>
      <c r="I22" s="1" t="s">
        <v>183</v>
      </c>
      <c r="J22" t="s">
        <v>193</v>
      </c>
    </row>
    <row r="23" spans="1:17" x14ac:dyDescent="0.25">
      <c r="A23" s="1" t="s">
        <v>240</v>
      </c>
      <c r="B23" s="1" t="s">
        <v>241</v>
      </c>
      <c r="C23" s="1" t="s">
        <v>192</v>
      </c>
      <c r="D23" t="s">
        <v>242</v>
      </c>
      <c r="G23" s="1" t="s">
        <v>231</v>
      </c>
      <c r="H23" s="1" t="s">
        <v>232</v>
      </c>
      <c r="I23" s="1" t="s">
        <v>192</v>
      </c>
      <c r="J23" t="s">
        <v>233</v>
      </c>
      <c r="M23" s="24" t="s">
        <v>522</v>
      </c>
      <c r="N23" s="24" t="s">
        <v>523</v>
      </c>
    </row>
    <row r="24" spans="1:17" x14ac:dyDescent="0.25">
      <c r="A24" s="1" t="s">
        <v>243</v>
      </c>
      <c r="B24" s="1" t="s">
        <v>244</v>
      </c>
      <c r="C24" s="1" t="s">
        <v>188</v>
      </c>
      <c r="D24" t="s">
        <v>218</v>
      </c>
      <c r="G24" s="1" t="s">
        <v>234</v>
      </c>
      <c r="H24" s="1" t="s">
        <v>235</v>
      </c>
      <c r="I24" s="1" t="s">
        <v>183</v>
      </c>
      <c r="J24" t="s">
        <v>185</v>
      </c>
      <c r="M24" s="24" t="s">
        <v>519</v>
      </c>
      <c r="N24" t="s">
        <v>183</v>
      </c>
      <c r="O24" t="s">
        <v>192</v>
      </c>
      <c r="P24" t="s">
        <v>188</v>
      </c>
      <c r="Q24" t="s">
        <v>521</v>
      </c>
    </row>
    <row r="25" spans="1:17" x14ac:dyDescent="0.25">
      <c r="A25" s="1" t="s">
        <v>245</v>
      </c>
      <c r="B25" s="1" t="s">
        <v>246</v>
      </c>
      <c r="C25" s="1" t="s">
        <v>188</v>
      </c>
      <c r="D25" t="s">
        <v>211</v>
      </c>
      <c r="G25" s="1" t="s">
        <v>236</v>
      </c>
      <c r="H25" s="1" t="s">
        <v>237</v>
      </c>
      <c r="I25" s="1" t="s">
        <v>192</v>
      </c>
      <c r="J25" t="s">
        <v>218</v>
      </c>
      <c r="M25" s="23" t="s">
        <v>234</v>
      </c>
      <c r="N25" s="25">
        <v>1</v>
      </c>
      <c r="O25" s="25"/>
      <c r="P25" s="25"/>
      <c r="Q25" s="25">
        <v>1</v>
      </c>
    </row>
    <row r="26" spans="1:17" x14ac:dyDescent="0.25">
      <c r="A26" s="1" t="s">
        <v>247</v>
      </c>
      <c r="B26" s="1" t="s">
        <v>248</v>
      </c>
      <c r="C26" s="1" t="s">
        <v>188</v>
      </c>
      <c r="D26" t="s">
        <v>242</v>
      </c>
      <c r="M26" s="23" t="s">
        <v>181</v>
      </c>
      <c r="N26" s="25">
        <v>2</v>
      </c>
      <c r="O26" s="25"/>
      <c r="P26" s="25"/>
      <c r="Q26" s="25">
        <v>2</v>
      </c>
    </row>
    <row r="27" spans="1:17" x14ac:dyDescent="0.25">
      <c r="A27" s="1" t="s">
        <v>249</v>
      </c>
      <c r="B27" s="1" t="s">
        <v>250</v>
      </c>
      <c r="C27" s="1" t="s">
        <v>183</v>
      </c>
      <c r="D27" t="s">
        <v>193</v>
      </c>
      <c r="G27" s="1" t="s">
        <v>251</v>
      </c>
      <c r="M27" s="23" t="s">
        <v>257</v>
      </c>
      <c r="N27" s="25">
        <v>1</v>
      </c>
      <c r="O27" s="25"/>
      <c r="P27" s="25"/>
      <c r="Q27" s="25">
        <v>1</v>
      </c>
    </row>
    <row r="28" spans="1:17" x14ac:dyDescent="0.25">
      <c r="A28" s="1" t="s">
        <v>252</v>
      </c>
      <c r="B28" s="1" t="s">
        <v>253</v>
      </c>
      <c r="C28" s="1" t="s">
        <v>183</v>
      </c>
      <c r="D28" t="s">
        <v>254</v>
      </c>
      <c r="G28" t="str">
        <f>VLOOKUP(G22,G6:J25,4,0)</f>
        <v xml:space="preserve">$1.50 </v>
      </c>
      <c r="M28" s="23" t="s">
        <v>252</v>
      </c>
      <c r="N28" s="25">
        <v>1</v>
      </c>
      <c r="O28" s="25"/>
      <c r="P28" s="25"/>
      <c r="Q28" s="25">
        <v>1</v>
      </c>
    </row>
    <row r="29" spans="1:17" x14ac:dyDescent="0.25">
      <c r="A29" s="1" t="s">
        <v>255</v>
      </c>
      <c r="B29" s="1" t="s">
        <v>256</v>
      </c>
      <c r="C29" s="1" t="s">
        <v>188</v>
      </c>
      <c r="D29" t="s">
        <v>189</v>
      </c>
      <c r="M29" s="23" t="s">
        <v>268</v>
      </c>
      <c r="N29" s="25">
        <v>1</v>
      </c>
      <c r="O29" s="25"/>
      <c r="P29" s="25"/>
      <c r="Q29" s="25">
        <v>1</v>
      </c>
    </row>
    <row r="30" spans="1:17" x14ac:dyDescent="0.25">
      <c r="A30" s="1" t="s">
        <v>257</v>
      </c>
      <c r="B30" s="1" t="s">
        <v>258</v>
      </c>
      <c r="C30" s="1" t="s">
        <v>183</v>
      </c>
      <c r="D30" t="s">
        <v>259</v>
      </c>
      <c r="G30" t="s">
        <v>260</v>
      </c>
      <c r="M30" s="23" t="s">
        <v>249</v>
      </c>
      <c r="N30" s="25">
        <v>1</v>
      </c>
      <c r="O30" s="25"/>
      <c r="P30" s="25"/>
      <c r="Q30" s="25">
        <v>1</v>
      </c>
    </row>
    <row r="31" spans="1:17" x14ac:dyDescent="0.25">
      <c r="A31" s="1" t="s">
        <v>261</v>
      </c>
      <c r="B31" s="1" t="s">
        <v>262</v>
      </c>
      <c r="C31" s="1" t="s">
        <v>192</v>
      </c>
      <c r="D31" t="s">
        <v>184</v>
      </c>
      <c r="G31" t="str">
        <f>VLOOKUP(H21,H6:J25,2,0)</f>
        <v>Office Supplies</v>
      </c>
      <c r="M31" s="23" t="s">
        <v>273</v>
      </c>
      <c r="N31" s="25">
        <v>1</v>
      </c>
      <c r="O31" s="25"/>
      <c r="P31" s="25"/>
      <c r="Q31" s="25">
        <v>1</v>
      </c>
    </row>
    <row r="32" spans="1:17" x14ac:dyDescent="0.25">
      <c r="A32" s="1" t="s">
        <v>263</v>
      </c>
      <c r="B32" s="1" t="s">
        <v>264</v>
      </c>
      <c r="C32" s="1" t="s">
        <v>192</v>
      </c>
      <c r="D32" t="s">
        <v>200</v>
      </c>
      <c r="M32" s="23" t="s">
        <v>229</v>
      </c>
      <c r="N32" s="25">
        <v>1</v>
      </c>
      <c r="O32" s="25"/>
      <c r="P32" s="25"/>
      <c r="Q32" s="25">
        <v>1</v>
      </c>
    </row>
    <row r="33" spans="1:17" x14ac:dyDescent="0.25">
      <c r="A33" s="1" t="s">
        <v>265</v>
      </c>
      <c r="B33" s="1" t="s">
        <v>266</v>
      </c>
      <c r="C33" s="1" t="s">
        <v>188</v>
      </c>
      <c r="D33" t="s">
        <v>267</v>
      </c>
      <c r="M33" s="23" t="s">
        <v>204</v>
      </c>
      <c r="N33" s="25">
        <v>1</v>
      </c>
      <c r="O33" s="25"/>
      <c r="P33" s="25"/>
      <c r="Q33" s="25">
        <v>1</v>
      </c>
    </row>
    <row r="34" spans="1:17" x14ac:dyDescent="0.25">
      <c r="A34" s="1" t="s">
        <v>268</v>
      </c>
      <c r="B34" s="1" t="s">
        <v>269</v>
      </c>
      <c r="C34" s="1" t="s">
        <v>183</v>
      </c>
      <c r="D34" t="s">
        <v>189</v>
      </c>
      <c r="M34" s="23" t="s">
        <v>283</v>
      </c>
      <c r="N34" s="25">
        <v>1</v>
      </c>
      <c r="O34" s="25"/>
      <c r="P34" s="25"/>
      <c r="Q34" s="25">
        <v>1</v>
      </c>
    </row>
    <row r="35" spans="1:17" x14ac:dyDescent="0.25">
      <c r="A35" s="1" t="s">
        <v>270</v>
      </c>
      <c r="B35" s="1" t="s">
        <v>271</v>
      </c>
      <c r="C35" s="1" t="s">
        <v>192</v>
      </c>
      <c r="D35" t="s">
        <v>272</v>
      </c>
      <c r="M35" s="23" t="s">
        <v>278</v>
      </c>
      <c r="N35" s="25"/>
      <c r="O35" s="25">
        <v>1</v>
      </c>
      <c r="P35" s="25"/>
      <c r="Q35" s="25">
        <v>1</v>
      </c>
    </row>
    <row r="36" spans="1:17" x14ac:dyDescent="0.25">
      <c r="A36" s="1" t="s">
        <v>273</v>
      </c>
      <c r="B36" s="1" t="s">
        <v>274</v>
      </c>
      <c r="C36" s="1" t="s">
        <v>183</v>
      </c>
      <c r="D36" t="s">
        <v>275</v>
      </c>
      <c r="M36" s="23" t="s">
        <v>240</v>
      </c>
      <c r="N36" s="25"/>
      <c r="O36" s="25">
        <v>1</v>
      </c>
      <c r="P36" s="25"/>
      <c r="Q36" s="25">
        <v>1</v>
      </c>
    </row>
    <row r="37" spans="1:17" x14ac:dyDescent="0.25">
      <c r="A37" s="1" t="s">
        <v>276</v>
      </c>
      <c r="B37" s="1" t="s">
        <v>277</v>
      </c>
      <c r="C37" s="1" t="s">
        <v>192</v>
      </c>
      <c r="D37" t="s">
        <v>218</v>
      </c>
      <c r="M37" s="23" t="s">
        <v>226</v>
      </c>
      <c r="N37" s="25"/>
      <c r="O37" s="25">
        <v>1</v>
      </c>
      <c r="P37" s="25"/>
      <c r="Q37" s="25">
        <v>1</v>
      </c>
    </row>
    <row r="38" spans="1:17" x14ac:dyDescent="0.25">
      <c r="A38" s="1" t="s">
        <v>278</v>
      </c>
      <c r="B38" s="1" t="s">
        <v>279</v>
      </c>
      <c r="C38" s="1" t="s">
        <v>192</v>
      </c>
      <c r="D38" t="s">
        <v>184</v>
      </c>
      <c r="M38" s="23" t="s">
        <v>221</v>
      </c>
      <c r="N38" s="25"/>
      <c r="O38" s="25">
        <v>1</v>
      </c>
      <c r="P38" s="25"/>
      <c r="Q38" s="25">
        <v>1</v>
      </c>
    </row>
    <row r="39" spans="1:17" x14ac:dyDescent="0.25">
      <c r="A39" s="1" t="s">
        <v>280</v>
      </c>
      <c r="B39" s="1" t="s">
        <v>281</v>
      </c>
      <c r="C39" s="1" t="s">
        <v>188</v>
      </c>
      <c r="D39" t="s">
        <v>282</v>
      </c>
      <c r="M39" s="23" t="s">
        <v>213</v>
      </c>
      <c r="N39" s="25"/>
      <c r="O39" s="25">
        <v>1</v>
      </c>
      <c r="P39" s="25"/>
      <c r="Q39" s="25">
        <v>1</v>
      </c>
    </row>
    <row r="40" spans="1:17" x14ac:dyDescent="0.25">
      <c r="A40" s="1" t="s">
        <v>283</v>
      </c>
      <c r="B40" s="1" t="s">
        <v>284</v>
      </c>
      <c r="C40" s="1" t="s">
        <v>183</v>
      </c>
      <c r="D40" t="s">
        <v>203</v>
      </c>
      <c r="M40" s="23" t="s">
        <v>236</v>
      </c>
      <c r="N40" s="25"/>
      <c r="O40" s="25">
        <v>1</v>
      </c>
      <c r="P40" s="25"/>
      <c r="Q40" s="25">
        <v>1</v>
      </c>
    </row>
    <row r="41" spans="1:17" x14ac:dyDescent="0.25">
      <c r="A41" s="1" t="s">
        <v>285</v>
      </c>
      <c r="B41" s="1" t="s">
        <v>286</v>
      </c>
      <c r="C41" s="1" t="s">
        <v>192</v>
      </c>
      <c r="D41" t="s">
        <v>208</v>
      </c>
      <c r="M41" s="23" t="s">
        <v>216</v>
      </c>
      <c r="N41" s="25"/>
      <c r="O41" s="25">
        <v>1</v>
      </c>
      <c r="P41" s="25"/>
      <c r="Q41" s="25">
        <v>1</v>
      </c>
    </row>
    <row r="42" spans="1:17" x14ac:dyDescent="0.25">
      <c r="A42" s="1" t="s">
        <v>287</v>
      </c>
      <c r="B42" s="1" t="s">
        <v>288</v>
      </c>
      <c r="C42" s="1" t="s">
        <v>192</v>
      </c>
      <c r="D42" t="s">
        <v>259</v>
      </c>
      <c r="M42" s="23" t="s">
        <v>238</v>
      </c>
      <c r="N42" s="25"/>
      <c r="O42" s="25">
        <v>1</v>
      </c>
      <c r="P42" s="25"/>
      <c r="Q42" s="25">
        <v>1</v>
      </c>
    </row>
    <row r="43" spans="1:17" x14ac:dyDescent="0.25">
      <c r="A43" s="1" t="s">
        <v>289</v>
      </c>
      <c r="B43" s="1" t="s">
        <v>290</v>
      </c>
      <c r="C43" s="1" t="s">
        <v>192</v>
      </c>
      <c r="D43" t="s">
        <v>291</v>
      </c>
      <c r="M43" s="23" t="s">
        <v>206</v>
      </c>
      <c r="N43" s="25"/>
      <c r="O43" s="25">
        <v>1</v>
      </c>
      <c r="P43" s="25"/>
      <c r="Q43" s="25">
        <v>1</v>
      </c>
    </row>
    <row r="44" spans="1:17" x14ac:dyDescent="0.25">
      <c r="A44" s="1" t="s">
        <v>292</v>
      </c>
      <c r="B44" s="1" t="s">
        <v>293</v>
      </c>
      <c r="C44" s="1" t="s">
        <v>192</v>
      </c>
      <c r="D44" t="s">
        <v>294</v>
      </c>
      <c r="M44" s="23" t="s">
        <v>285</v>
      </c>
      <c r="N44" s="25"/>
      <c r="O44" s="25">
        <v>1</v>
      </c>
      <c r="P44" s="25"/>
      <c r="Q44" s="25">
        <v>1</v>
      </c>
    </row>
    <row r="45" spans="1:17" x14ac:dyDescent="0.25">
      <c r="A45" s="1" t="s">
        <v>295</v>
      </c>
      <c r="B45" s="1" t="s">
        <v>296</v>
      </c>
      <c r="C45" s="1" t="s">
        <v>192</v>
      </c>
      <c r="D45" t="s">
        <v>208</v>
      </c>
      <c r="M45" s="23" t="s">
        <v>276</v>
      </c>
      <c r="N45" s="25"/>
      <c r="O45" s="25">
        <v>1</v>
      </c>
      <c r="P45" s="25"/>
      <c r="Q45" s="25">
        <v>1</v>
      </c>
    </row>
    <row r="46" spans="1:17" x14ac:dyDescent="0.25">
      <c r="A46" s="1" t="s">
        <v>297</v>
      </c>
      <c r="B46" s="1" t="s">
        <v>298</v>
      </c>
      <c r="C46" s="1" t="s">
        <v>188</v>
      </c>
      <c r="D46" t="s">
        <v>267</v>
      </c>
      <c r="M46" s="23" t="s">
        <v>261</v>
      </c>
      <c r="N46" s="25"/>
      <c r="O46" s="25">
        <v>1</v>
      </c>
      <c r="P46" s="25"/>
      <c r="Q46" s="25">
        <v>1</v>
      </c>
    </row>
    <row r="47" spans="1:17" x14ac:dyDescent="0.25">
      <c r="A47" s="1" t="s">
        <v>299</v>
      </c>
      <c r="B47" s="1" t="s">
        <v>300</v>
      </c>
      <c r="C47" s="1" t="s">
        <v>183</v>
      </c>
      <c r="D47" t="s">
        <v>193</v>
      </c>
      <c r="M47" s="23" t="s">
        <v>263</v>
      </c>
      <c r="N47" s="25"/>
      <c r="O47" s="25">
        <v>1</v>
      </c>
      <c r="P47" s="25"/>
      <c r="Q47" s="25">
        <v>1</v>
      </c>
    </row>
    <row r="48" spans="1:17" x14ac:dyDescent="0.25">
      <c r="A48" s="1" t="s">
        <v>301</v>
      </c>
      <c r="B48" s="1" t="s">
        <v>302</v>
      </c>
      <c r="C48" s="1" t="s">
        <v>188</v>
      </c>
      <c r="D48" t="s">
        <v>193</v>
      </c>
      <c r="M48" s="23" t="s">
        <v>270</v>
      </c>
      <c r="N48" s="25"/>
      <c r="O48" s="25">
        <v>1</v>
      </c>
      <c r="P48" s="25"/>
      <c r="Q48" s="25">
        <v>1</v>
      </c>
    </row>
    <row r="49" spans="1:17" x14ac:dyDescent="0.25">
      <c r="A49" s="1" t="s">
        <v>303</v>
      </c>
      <c r="B49" s="1" t="s">
        <v>304</v>
      </c>
      <c r="C49" s="1" t="s">
        <v>188</v>
      </c>
      <c r="D49" t="s">
        <v>189</v>
      </c>
      <c r="M49" s="23" t="s">
        <v>231</v>
      </c>
      <c r="N49" s="25"/>
      <c r="O49" s="25">
        <v>1</v>
      </c>
      <c r="P49" s="25"/>
      <c r="Q49" s="25">
        <v>1</v>
      </c>
    </row>
    <row r="50" spans="1:17" x14ac:dyDescent="0.25">
      <c r="A50" s="1" t="s">
        <v>305</v>
      </c>
      <c r="B50" s="1" t="s">
        <v>306</v>
      </c>
      <c r="C50" s="1" t="s">
        <v>188</v>
      </c>
      <c r="D50" t="s">
        <v>259</v>
      </c>
      <c r="M50" s="23" t="s">
        <v>190</v>
      </c>
      <c r="N50" s="25"/>
      <c r="O50" s="25">
        <v>1</v>
      </c>
      <c r="P50" s="25"/>
      <c r="Q50" s="25">
        <v>1</v>
      </c>
    </row>
    <row r="51" spans="1:17" x14ac:dyDescent="0.25">
      <c r="A51" s="1" t="s">
        <v>307</v>
      </c>
      <c r="B51" s="1" t="s">
        <v>308</v>
      </c>
      <c r="C51" s="1" t="s">
        <v>183</v>
      </c>
      <c r="D51" t="s">
        <v>197</v>
      </c>
      <c r="M51" s="23" t="s">
        <v>245</v>
      </c>
      <c r="N51" s="25"/>
      <c r="O51" s="25"/>
      <c r="P51" s="25">
        <v>1</v>
      </c>
      <c r="Q51" s="25">
        <v>1</v>
      </c>
    </row>
    <row r="52" spans="1:17" x14ac:dyDescent="0.25">
      <c r="A52" s="1" t="s">
        <v>309</v>
      </c>
      <c r="B52" s="1" t="s">
        <v>310</v>
      </c>
      <c r="C52" s="1" t="s">
        <v>183</v>
      </c>
      <c r="D52" t="s">
        <v>184</v>
      </c>
      <c r="M52" s="23" t="s">
        <v>280</v>
      </c>
      <c r="N52" s="25"/>
      <c r="O52" s="25"/>
      <c r="P52" s="25">
        <v>1</v>
      </c>
      <c r="Q52" s="25">
        <v>1</v>
      </c>
    </row>
    <row r="53" spans="1:17" x14ac:dyDescent="0.25">
      <c r="A53" s="1" t="s">
        <v>311</v>
      </c>
      <c r="B53" s="1" t="s">
        <v>312</v>
      </c>
      <c r="C53" s="1" t="s">
        <v>192</v>
      </c>
      <c r="D53" t="s">
        <v>208</v>
      </c>
      <c r="M53" s="23" t="s">
        <v>219</v>
      </c>
      <c r="N53" s="25"/>
      <c r="O53" s="25"/>
      <c r="P53" s="25">
        <v>1</v>
      </c>
      <c r="Q53" s="25">
        <v>1</v>
      </c>
    </row>
    <row r="54" spans="1:17" x14ac:dyDescent="0.25">
      <c r="A54" s="1" t="s">
        <v>313</v>
      </c>
      <c r="B54" s="1" t="s">
        <v>314</v>
      </c>
      <c r="C54" s="1" t="s">
        <v>183</v>
      </c>
      <c r="D54" t="s">
        <v>315</v>
      </c>
      <c r="M54" s="23" t="s">
        <v>195</v>
      </c>
      <c r="N54" s="25"/>
      <c r="O54" s="25"/>
      <c r="P54" s="25">
        <v>1</v>
      </c>
      <c r="Q54" s="25">
        <v>1</v>
      </c>
    </row>
    <row r="55" spans="1:17" x14ac:dyDescent="0.25">
      <c r="A55" s="1" t="s">
        <v>316</v>
      </c>
      <c r="B55" s="1" t="s">
        <v>317</v>
      </c>
      <c r="C55" s="1" t="s">
        <v>183</v>
      </c>
      <c r="D55" t="s">
        <v>203</v>
      </c>
      <c r="M55" s="23" t="s">
        <v>255</v>
      </c>
      <c r="N55" s="25"/>
      <c r="O55" s="25"/>
      <c r="P55" s="25">
        <v>1</v>
      </c>
      <c r="Q55" s="25">
        <v>1</v>
      </c>
    </row>
    <row r="56" spans="1:17" x14ac:dyDescent="0.25">
      <c r="A56" s="1" t="s">
        <v>318</v>
      </c>
      <c r="B56" s="1" t="s">
        <v>319</v>
      </c>
      <c r="C56" s="1" t="s">
        <v>192</v>
      </c>
      <c r="D56" t="s">
        <v>242</v>
      </c>
      <c r="M56" s="23" t="s">
        <v>198</v>
      </c>
      <c r="N56" s="25"/>
      <c r="O56" s="25"/>
      <c r="P56" s="25">
        <v>1</v>
      </c>
      <c r="Q56" s="25">
        <v>1</v>
      </c>
    </row>
    <row r="57" spans="1:17" x14ac:dyDescent="0.25">
      <c r="A57" s="1" t="s">
        <v>320</v>
      </c>
      <c r="B57" s="1" t="s">
        <v>321</v>
      </c>
      <c r="C57" s="1" t="s">
        <v>183</v>
      </c>
      <c r="D57" t="s">
        <v>203</v>
      </c>
      <c r="M57" s="23" t="s">
        <v>209</v>
      </c>
      <c r="N57" s="25"/>
      <c r="O57" s="25"/>
      <c r="P57" s="25">
        <v>1</v>
      </c>
      <c r="Q57" s="25">
        <v>1</v>
      </c>
    </row>
    <row r="58" spans="1:17" x14ac:dyDescent="0.25">
      <c r="A58" s="1" t="s">
        <v>322</v>
      </c>
      <c r="B58" s="1" t="s">
        <v>323</v>
      </c>
      <c r="C58" s="1" t="s">
        <v>192</v>
      </c>
      <c r="D58" t="s">
        <v>184</v>
      </c>
      <c r="M58" s="23" t="s">
        <v>265</v>
      </c>
      <c r="N58" s="25"/>
      <c r="O58" s="25"/>
      <c r="P58" s="25">
        <v>1</v>
      </c>
      <c r="Q58" s="25">
        <v>1</v>
      </c>
    </row>
    <row r="59" spans="1:17" x14ac:dyDescent="0.25">
      <c r="A59" s="1" t="s">
        <v>324</v>
      </c>
      <c r="B59" s="1" t="s">
        <v>325</v>
      </c>
      <c r="C59" s="1" t="s">
        <v>192</v>
      </c>
      <c r="D59" t="s">
        <v>326</v>
      </c>
      <c r="M59" s="23" t="s">
        <v>186</v>
      </c>
      <c r="N59" s="25"/>
      <c r="O59" s="25"/>
      <c r="P59" s="25">
        <v>1</v>
      </c>
      <c r="Q59" s="25">
        <v>1</v>
      </c>
    </row>
    <row r="60" spans="1:17" x14ac:dyDescent="0.25">
      <c r="A60" s="1" t="s">
        <v>327</v>
      </c>
      <c r="B60" s="1" t="s">
        <v>328</v>
      </c>
      <c r="C60" s="1" t="s">
        <v>192</v>
      </c>
      <c r="D60" t="s">
        <v>189</v>
      </c>
      <c r="M60" s="23" t="s">
        <v>247</v>
      </c>
      <c r="N60" s="25"/>
      <c r="O60" s="25"/>
      <c r="P60" s="25">
        <v>1</v>
      </c>
      <c r="Q60" s="25">
        <v>1</v>
      </c>
    </row>
    <row r="61" spans="1:17" x14ac:dyDescent="0.25">
      <c r="A61" s="1" t="s">
        <v>329</v>
      </c>
      <c r="B61" s="1" t="s">
        <v>330</v>
      </c>
      <c r="C61" s="1" t="s">
        <v>188</v>
      </c>
      <c r="D61" t="s">
        <v>189</v>
      </c>
      <c r="M61" s="23" t="s">
        <v>201</v>
      </c>
      <c r="N61" s="25"/>
      <c r="O61" s="25"/>
      <c r="P61" s="25">
        <v>1</v>
      </c>
      <c r="Q61" s="25">
        <v>1</v>
      </c>
    </row>
    <row r="62" spans="1:17" x14ac:dyDescent="0.25">
      <c r="A62" s="1" t="s">
        <v>331</v>
      </c>
      <c r="B62" s="1" t="s">
        <v>332</v>
      </c>
      <c r="C62" s="1" t="s">
        <v>188</v>
      </c>
      <c r="D62" t="s">
        <v>193</v>
      </c>
      <c r="M62" s="23" t="s">
        <v>224</v>
      </c>
      <c r="N62" s="25"/>
      <c r="O62" s="25"/>
      <c r="P62" s="25">
        <v>1</v>
      </c>
      <c r="Q62" s="25">
        <v>1</v>
      </c>
    </row>
    <row r="63" spans="1:17" x14ac:dyDescent="0.25">
      <c r="A63" s="1" t="s">
        <v>333</v>
      </c>
      <c r="B63" s="1" t="s">
        <v>334</v>
      </c>
      <c r="C63" s="1" t="s">
        <v>192</v>
      </c>
      <c r="D63" t="s">
        <v>259</v>
      </c>
      <c r="M63" s="23" t="s">
        <v>243</v>
      </c>
      <c r="N63" s="25"/>
      <c r="O63" s="25"/>
      <c r="P63" s="25">
        <v>1</v>
      </c>
      <c r="Q63" s="25">
        <v>1</v>
      </c>
    </row>
    <row r="64" spans="1:17" x14ac:dyDescent="0.25">
      <c r="A64" s="1" t="s">
        <v>335</v>
      </c>
      <c r="B64" s="1" t="s">
        <v>336</v>
      </c>
      <c r="C64" s="1" t="s">
        <v>183</v>
      </c>
      <c r="D64" t="s">
        <v>337</v>
      </c>
      <c r="M64" s="23" t="s">
        <v>521</v>
      </c>
      <c r="N64" s="25">
        <v>11</v>
      </c>
      <c r="O64" s="25">
        <v>16</v>
      </c>
      <c r="P64" s="25">
        <v>13</v>
      </c>
      <c r="Q64" s="25">
        <v>40</v>
      </c>
    </row>
    <row r="65" spans="1:4" x14ac:dyDescent="0.25">
      <c r="A65" s="1" t="s">
        <v>338</v>
      </c>
      <c r="B65" s="1" t="s">
        <v>339</v>
      </c>
      <c r="C65" s="1" t="s">
        <v>188</v>
      </c>
      <c r="D65" t="s">
        <v>189</v>
      </c>
    </row>
    <row r="66" spans="1:4" x14ac:dyDescent="0.25">
      <c r="A66" s="1" t="s">
        <v>340</v>
      </c>
      <c r="B66" s="1" t="s">
        <v>341</v>
      </c>
      <c r="C66" s="1" t="s">
        <v>192</v>
      </c>
      <c r="D66" t="s">
        <v>189</v>
      </c>
    </row>
    <row r="67" spans="1:4" x14ac:dyDescent="0.25">
      <c r="A67" s="1" t="s">
        <v>342</v>
      </c>
      <c r="B67" s="1" t="s">
        <v>343</v>
      </c>
      <c r="C67" s="1" t="s">
        <v>192</v>
      </c>
      <c r="D67" t="s">
        <v>294</v>
      </c>
    </row>
    <row r="68" spans="1:4" x14ac:dyDescent="0.25">
      <c r="A68" s="1" t="s">
        <v>344</v>
      </c>
      <c r="B68" s="1" t="s">
        <v>345</v>
      </c>
      <c r="C68" s="1" t="s">
        <v>192</v>
      </c>
      <c r="D68" t="s">
        <v>346</v>
      </c>
    </row>
    <row r="69" spans="1:4" x14ac:dyDescent="0.25">
      <c r="A69" s="1" t="s">
        <v>347</v>
      </c>
      <c r="B69" s="1" t="s">
        <v>348</v>
      </c>
      <c r="C69" s="1" t="s">
        <v>192</v>
      </c>
      <c r="D69" t="s">
        <v>349</v>
      </c>
    </row>
    <row r="70" spans="1:4" x14ac:dyDescent="0.25">
      <c r="A70" s="1" t="s">
        <v>350</v>
      </c>
      <c r="B70" s="1" t="s">
        <v>351</v>
      </c>
      <c r="C70" s="1" t="s">
        <v>192</v>
      </c>
      <c r="D70" t="s">
        <v>228</v>
      </c>
    </row>
    <row r="71" spans="1:4" x14ac:dyDescent="0.25">
      <c r="A71" s="1" t="s">
        <v>352</v>
      </c>
      <c r="B71" s="1" t="s">
        <v>353</v>
      </c>
      <c r="C71" s="1" t="s">
        <v>192</v>
      </c>
      <c r="D71" t="s">
        <v>197</v>
      </c>
    </row>
    <row r="72" spans="1:4" x14ac:dyDescent="0.25">
      <c r="A72" s="1" t="s">
        <v>354</v>
      </c>
      <c r="B72" s="1" t="s">
        <v>355</v>
      </c>
      <c r="C72" s="1" t="s">
        <v>183</v>
      </c>
      <c r="D72" t="s">
        <v>208</v>
      </c>
    </row>
    <row r="73" spans="1:4" x14ac:dyDescent="0.25">
      <c r="A73" s="1" t="s">
        <v>356</v>
      </c>
      <c r="B73" s="1" t="s">
        <v>357</v>
      </c>
      <c r="C73" s="1" t="s">
        <v>183</v>
      </c>
      <c r="D73" t="s">
        <v>242</v>
      </c>
    </row>
    <row r="74" spans="1:4" x14ac:dyDescent="0.25">
      <c r="A74" s="1" t="s">
        <v>358</v>
      </c>
      <c r="B74" s="1" t="s">
        <v>359</v>
      </c>
      <c r="C74" s="1" t="s">
        <v>192</v>
      </c>
      <c r="D74" t="s">
        <v>197</v>
      </c>
    </row>
    <row r="75" spans="1:4" x14ac:dyDescent="0.25">
      <c r="A75" s="1" t="s">
        <v>360</v>
      </c>
      <c r="B75" s="1" t="s">
        <v>361</v>
      </c>
      <c r="C75" s="1" t="s">
        <v>192</v>
      </c>
      <c r="D75" t="s">
        <v>337</v>
      </c>
    </row>
    <row r="76" spans="1:4" x14ac:dyDescent="0.25">
      <c r="A76" s="1" t="s">
        <v>362</v>
      </c>
      <c r="B76" s="1" t="s">
        <v>363</v>
      </c>
      <c r="C76" s="1" t="s">
        <v>192</v>
      </c>
      <c r="D76" t="s">
        <v>218</v>
      </c>
    </row>
    <row r="77" spans="1:4" x14ac:dyDescent="0.25">
      <c r="A77" s="1" t="s">
        <v>364</v>
      </c>
      <c r="B77" s="1" t="s">
        <v>365</v>
      </c>
      <c r="C77" s="1" t="s">
        <v>192</v>
      </c>
      <c r="D77" t="s">
        <v>189</v>
      </c>
    </row>
    <row r="78" spans="1:4" x14ac:dyDescent="0.25">
      <c r="A78" s="1" t="s">
        <v>366</v>
      </c>
      <c r="B78" s="1" t="s">
        <v>367</v>
      </c>
      <c r="C78" s="1" t="s">
        <v>192</v>
      </c>
      <c r="D78" t="s">
        <v>184</v>
      </c>
    </row>
    <row r="79" spans="1:4" x14ac:dyDescent="0.25">
      <c r="A79" s="1" t="s">
        <v>368</v>
      </c>
      <c r="B79" s="1" t="s">
        <v>369</v>
      </c>
      <c r="C79" s="1" t="s">
        <v>192</v>
      </c>
      <c r="D79" t="s">
        <v>184</v>
      </c>
    </row>
    <row r="80" spans="1:4" x14ac:dyDescent="0.25">
      <c r="A80" s="1" t="s">
        <v>370</v>
      </c>
      <c r="B80" s="1" t="s">
        <v>371</v>
      </c>
      <c r="C80" s="1" t="s">
        <v>183</v>
      </c>
      <c r="D80" t="s">
        <v>372</v>
      </c>
    </row>
    <row r="81" spans="1:4" x14ac:dyDescent="0.25">
      <c r="A81" s="1" t="s">
        <v>373</v>
      </c>
      <c r="B81" s="1" t="s">
        <v>374</v>
      </c>
      <c r="C81" s="1" t="s">
        <v>183</v>
      </c>
      <c r="D81" t="s">
        <v>203</v>
      </c>
    </row>
    <row r="82" spans="1:4" x14ac:dyDescent="0.25">
      <c r="A82" s="1" t="s">
        <v>375</v>
      </c>
      <c r="B82" s="1" t="s">
        <v>376</v>
      </c>
      <c r="C82" s="1" t="s">
        <v>192</v>
      </c>
      <c r="D82" t="s">
        <v>189</v>
      </c>
    </row>
    <row r="83" spans="1:4" x14ac:dyDescent="0.25">
      <c r="A83" s="1" t="s">
        <v>377</v>
      </c>
      <c r="B83" s="1" t="s">
        <v>378</v>
      </c>
      <c r="C83" s="1" t="s">
        <v>188</v>
      </c>
      <c r="D83" t="s">
        <v>208</v>
      </c>
    </row>
    <row r="84" spans="1:4" x14ac:dyDescent="0.25">
      <c r="A84" s="1" t="s">
        <v>379</v>
      </c>
      <c r="B84" s="1" t="s">
        <v>380</v>
      </c>
      <c r="C84" s="1" t="s">
        <v>192</v>
      </c>
      <c r="D84" t="s">
        <v>203</v>
      </c>
    </row>
    <row r="85" spans="1:4" x14ac:dyDescent="0.25">
      <c r="A85" s="1" t="s">
        <v>381</v>
      </c>
      <c r="B85" s="1" t="s">
        <v>382</v>
      </c>
      <c r="C85" s="1" t="s">
        <v>183</v>
      </c>
      <c r="D85" t="s">
        <v>383</v>
      </c>
    </row>
    <row r="86" spans="1:4" x14ac:dyDescent="0.25">
      <c r="A86" s="1" t="s">
        <v>384</v>
      </c>
      <c r="B86" s="1" t="s">
        <v>385</v>
      </c>
      <c r="C86" s="1" t="s">
        <v>188</v>
      </c>
      <c r="D86" t="s">
        <v>189</v>
      </c>
    </row>
    <row r="87" spans="1:4" x14ac:dyDescent="0.25">
      <c r="A87" s="1" t="s">
        <v>386</v>
      </c>
      <c r="B87" s="1" t="s">
        <v>387</v>
      </c>
      <c r="C87" s="1" t="s">
        <v>192</v>
      </c>
      <c r="D87" t="s">
        <v>218</v>
      </c>
    </row>
    <row r="88" spans="1:4" x14ac:dyDescent="0.25">
      <c r="A88" s="1" t="s">
        <v>388</v>
      </c>
      <c r="B88" s="1" t="s">
        <v>389</v>
      </c>
      <c r="C88" s="1" t="s">
        <v>192</v>
      </c>
      <c r="D88" t="s">
        <v>193</v>
      </c>
    </row>
    <row r="89" spans="1:4" x14ac:dyDescent="0.25">
      <c r="A89" s="1" t="s">
        <v>390</v>
      </c>
      <c r="B89" s="1" t="s">
        <v>391</v>
      </c>
      <c r="C89" s="1" t="s">
        <v>192</v>
      </c>
      <c r="D89" t="s">
        <v>349</v>
      </c>
    </row>
    <row r="90" spans="1:4" x14ac:dyDescent="0.25">
      <c r="A90" s="1" t="s">
        <v>392</v>
      </c>
      <c r="B90" s="1" t="s">
        <v>393</v>
      </c>
      <c r="C90" s="1" t="s">
        <v>192</v>
      </c>
      <c r="D90" t="s">
        <v>233</v>
      </c>
    </row>
    <row r="91" spans="1:4" x14ac:dyDescent="0.25">
      <c r="A91" s="1" t="s">
        <v>394</v>
      </c>
      <c r="B91" s="1" t="s">
        <v>395</v>
      </c>
      <c r="C91" s="1" t="s">
        <v>192</v>
      </c>
      <c r="D91" t="s">
        <v>197</v>
      </c>
    </row>
    <row r="92" spans="1:4" x14ac:dyDescent="0.25">
      <c r="A92" s="1" t="s">
        <v>396</v>
      </c>
      <c r="B92" s="1" t="s">
        <v>397</v>
      </c>
      <c r="C92" s="1" t="s">
        <v>192</v>
      </c>
      <c r="D92" t="s">
        <v>398</v>
      </c>
    </row>
    <row r="93" spans="1:4" x14ac:dyDescent="0.25">
      <c r="A93" s="1" t="s">
        <v>399</v>
      </c>
      <c r="B93" s="1" t="s">
        <v>400</v>
      </c>
      <c r="C93" s="1" t="s">
        <v>192</v>
      </c>
      <c r="D93" t="s">
        <v>259</v>
      </c>
    </row>
    <row r="94" spans="1:4" x14ac:dyDescent="0.25">
      <c r="A94" s="1" t="s">
        <v>401</v>
      </c>
      <c r="B94" s="1" t="s">
        <v>402</v>
      </c>
      <c r="C94" s="1" t="s">
        <v>192</v>
      </c>
      <c r="D94" t="s">
        <v>275</v>
      </c>
    </row>
    <row r="95" spans="1:4" x14ac:dyDescent="0.25">
      <c r="A95" s="1" t="s">
        <v>403</v>
      </c>
      <c r="B95" s="1" t="s">
        <v>404</v>
      </c>
      <c r="C95" s="1" t="s">
        <v>188</v>
      </c>
      <c r="D95" t="s">
        <v>349</v>
      </c>
    </row>
    <row r="96" spans="1:4" x14ac:dyDescent="0.25">
      <c r="A96" s="1" t="s">
        <v>405</v>
      </c>
      <c r="B96" s="1" t="s">
        <v>406</v>
      </c>
      <c r="C96" s="1" t="s">
        <v>192</v>
      </c>
      <c r="D96" t="s">
        <v>208</v>
      </c>
    </row>
    <row r="97" spans="1:4" x14ac:dyDescent="0.25">
      <c r="A97" s="1" t="s">
        <v>407</v>
      </c>
      <c r="B97" s="1" t="s">
        <v>408</v>
      </c>
      <c r="C97" s="1" t="s">
        <v>183</v>
      </c>
      <c r="D97" t="s">
        <v>228</v>
      </c>
    </row>
    <row r="98" spans="1:4" x14ac:dyDescent="0.25">
      <c r="A98" s="1" t="s">
        <v>409</v>
      </c>
      <c r="B98" s="1" t="s">
        <v>410</v>
      </c>
      <c r="C98" s="1" t="s">
        <v>183</v>
      </c>
      <c r="D98" t="s">
        <v>411</v>
      </c>
    </row>
    <row r="99" spans="1:4" x14ac:dyDescent="0.25">
      <c r="A99" s="1" t="s">
        <v>412</v>
      </c>
      <c r="B99" s="1" t="s">
        <v>413</v>
      </c>
      <c r="C99" s="1" t="s">
        <v>183</v>
      </c>
      <c r="D99" t="s">
        <v>218</v>
      </c>
    </row>
    <row r="100" spans="1:4" x14ac:dyDescent="0.25">
      <c r="A100" s="1" t="s">
        <v>414</v>
      </c>
      <c r="B100" s="1" t="s">
        <v>415</v>
      </c>
      <c r="C100" s="1" t="s">
        <v>183</v>
      </c>
      <c r="D100" t="s">
        <v>203</v>
      </c>
    </row>
  </sheetData>
  <mergeCells count="2">
    <mergeCell ref="G1:J3"/>
    <mergeCell ref="M1:O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23AF-555E-4383-9F51-32A55F3F6FCE}">
  <dimension ref="A1:AH100"/>
  <sheetViews>
    <sheetView topLeftCell="O1" zoomScale="52" workbookViewId="0">
      <selection activeCell="K34" sqref="K34"/>
    </sheetView>
  </sheetViews>
  <sheetFormatPr defaultRowHeight="15" x14ac:dyDescent="0.25"/>
  <cols>
    <col min="1" max="1" width="11.7109375" customWidth="1"/>
    <col min="2" max="2" width="17.42578125" customWidth="1"/>
    <col min="3" max="3" width="13.85546875" customWidth="1"/>
    <col min="4" max="4" width="17.42578125" customWidth="1"/>
    <col min="5" max="5" width="13.5703125" customWidth="1"/>
    <col min="6" max="6" width="12.28515625" customWidth="1"/>
    <col min="7" max="7" width="11.42578125" customWidth="1"/>
    <col min="9" max="9" width="15.5703125" bestFit="1" customWidth="1"/>
    <col min="11" max="11" width="11.42578125" customWidth="1"/>
    <col min="12" max="12" width="11.85546875" customWidth="1"/>
    <col min="13" max="13" width="10.5703125" customWidth="1"/>
    <col min="14" max="14" width="12.85546875" customWidth="1"/>
    <col min="17" max="17" width="11.140625" customWidth="1"/>
    <col min="18" max="18" width="12.5703125" customWidth="1"/>
    <col min="19" max="19" width="11.28515625" customWidth="1"/>
    <col min="20" max="20" width="11.5703125" customWidth="1"/>
    <col min="21" max="21" width="13" customWidth="1"/>
    <col min="22" max="22" width="13.28515625" customWidth="1"/>
    <col min="23" max="23" width="12.85546875" customWidth="1"/>
    <col min="24" max="24" width="12.28515625" customWidth="1"/>
    <col min="25" max="25" width="11.28515625" customWidth="1"/>
    <col min="26" max="26" width="12.85546875" customWidth="1"/>
    <col min="27" max="27" width="15.140625" customWidth="1"/>
    <col min="31" max="31" width="21" bestFit="1" customWidth="1"/>
    <col min="32" max="32" width="18.28515625" bestFit="1" customWidth="1"/>
    <col min="33" max="33" width="22.42578125" bestFit="1" customWidth="1"/>
    <col min="34" max="34" width="19.42578125" bestFit="1" customWidth="1"/>
  </cols>
  <sheetData>
    <row r="1" spans="1:34" x14ac:dyDescent="0.25">
      <c r="A1" t="s">
        <v>430</v>
      </c>
      <c r="B1" t="s">
        <v>431</v>
      </c>
      <c r="C1" t="s">
        <v>0</v>
      </c>
      <c r="D1" t="s">
        <v>177</v>
      </c>
      <c r="E1" t="s">
        <v>432</v>
      </c>
      <c r="F1" t="s">
        <v>433</v>
      </c>
      <c r="G1" t="s">
        <v>434</v>
      </c>
      <c r="AE1" s="24" t="s">
        <v>430</v>
      </c>
      <c r="AF1" t="s">
        <v>518</v>
      </c>
    </row>
    <row r="2" spans="1:34" x14ac:dyDescent="0.25">
      <c r="A2" t="s">
        <v>435</v>
      </c>
      <c r="B2" s="9">
        <v>43466</v>
      </c>
      <c r="C2" t="s">
        <v>7</v>
      </c>
      <c r="D2" t="s">
        <v>181</v>
      </c>
      <c r="E2">
        <v>73.94</v>
      </c>
      <c r="F2">
        <v>1</v>
      </c>
      <c r="G2">
        <v>28.2668</v>
      </c>
      <c r="K2" s="10" t="s">
        <v>5</v>
      </c>
      <c r="L2" s="8"/>
      <c r="M2" s="8"/>
      <c r="N2" s="8"/>
      <c r="T2" s="11" t="s">
        <v>6</v>
      </c>
      <c r="U2" s="12"/>
      <c r="V2" s="12"/>
      <c r="W2" s="12"/>
      <c r="X2" s="12"/>
      <c r="AE2" s="24" t="s">
        <v>0</v>
      </c>
      <c r="AF2" t="s">
        <v>518</v>
      </c>
    </row>
    <row r="3" spans="1:34" ht="15" customHeight="1" x14ac:dyDescent="0.25">
      <c r="A3" t="s">
        <v>435</v>
      </c>
      <c r="B3" s="9">
        <v>43497</v>
      </c>
      <c r="C3" t="s">
        <v>7</v>
      </c>
      <c r="D3" t="s">
        <v>181</v>
      </c>
      <c r="E3">
        <v>173.94</v>
      </c>
      <c r="F3">
        <v>3</v>
      </c>
      <c r="G3">
        <v>38.266800000000003</v>
      </c>
      <c r="K3" s="8"/>
      <c r="L3" s="8"/>
      <c r="M3" s="8"/>
      <c r="N3" s="8"/>
      <c r="T3" s="12"/>
      <c r="U3" s="12"/>
      <c r="V3" s="12"/>
      <c r="W3" s="12"/>
      <c r="X3" s="12"/>
      <c r="AE3" s="24" t="s">
        <v>177</v>
      </c>
      <c r="AF3" t="s">
        <v>518</v>
      </c>
    </row>
    <row r="4" spans="1:34" ht="15" customHeight="1" x14ac:dyDescent="0.25">
      <c r="A4" t="s">
        <v>435</v>
      </c>
      <c r="B4" s="9">
        <v>43497</v>
      </c>
      <c r="C4" t="s">
        <v>7</v>
      </c>
      <c r="D4" t="s">
        <v>186</v>
      </c>
      <c r="E4">
        <v>231.98</v>
      </c>
      <c r="F4">
        <v>2</v>
      </c>
      <c r="G4">
        <v>67.274199999999993</v>
      </c>
      <c r="H4">
        <f>SUM(ORDERS_TABLE[Sales])</f>
        <v>25655.952999999998</v>
      </c>
      <c r="K4" s="8"/>
      <c r="L4" s="8"/>
      <c r="M4" s="8"/>
      <c r="N4" s="8"/>
      <c r="T4" s="12"/>
      <c r="U4" s="12"/>
      <c r="V4" s="12"/>
      <c r="W4" s="12"/>
      <c r="X4" s="12"/>
    </row>
    <row r="5" spans="1:34" ht="15" customHeight="1" x14ac:dyDescent="0.5">
      <c r="A5" t="s">
        <v>436</v>
      </c>
      <c r="B5" s="9">
        <v>43525</v>
      </c>
      <c r="C5" t="s">
        <v>13</v>
      </c>
      <c r="D5" t="s">
        <v>190</v>
      </c>
      <c r="E5">
        <v>114.46</v>
      </c>
      <c r="F5">
        <v>2</v>
      </c>
      <c r="G5">
        <v>28.614999999999998</v>
      </c>
      <c r="I5">
        <f>SUM(ORDERS_TABLE[Profit])</f>
        <v>5899.2325000000019</v>
      </c>
      <c r="T5" s="13"/>
      <c r="U5" s="13"/>
      <c r="V5" s="13"/>
      <c r="W5" s="13"/>
      <c r="X5" s="13"/>
      <c r="AE5" s="24" t="s">
        <v>519</v>
      </c>
      <c r="AF5" t="s">
        <v>525</v>
      </c>
      <c r="AG5" t="s">
        <v>526</v>
      </c>
      <c r="AH5" t="s">
        <v>527</v>
      </c>
    </row>
    <row r="6" spans="1:34" x14ac:dyDescent="0.25">
      <c r="A6" t="s">
        <v>437</v>
      </c>
      <c r="B6" s="9">
        <v>43525</v>
      </c>
      <c r="C6" t="s">
        <v>17</v>
      </c>
      <c r="D6" t="s">
        <v>195</v>
      </c>
      <c r="E6">
        <v>30.08</v>
      </c>
      <c r="F6">
        <v>2</v>
      </c>
      <c r="G6">
        <v>-5.2640000000000002</v>
      </c>
      <c r="I6">
        <f>COUNT(ORDERS_TABLE[Customer ID])</f>
        <v>0</v>
      </c>
      <c r="K6" t="s">
        <v>177</v>
      </c>
      <c r="L6" t="s">
        <v>432</v>
      </c>
      <c r="M6" t="s">
        <v>433</v>
      </c>
      <c r="N6" t="s">
        <v>434</v>
      </c>
      <c r="Q6" t="str" cm="1">
        <f t="array" ref="Q6:AA9">TRANSPOSE(K6:N16)</f>
        <v>Product ID</v>
      </c>
      <c r="R6" t="str">
        <v>FUR-BO-10004709</v>
      </c>
      <c r="S6" t="str">
        <v>FUR-BO-10004709</v>
      </c>
      <c r="T6" t="str">
        <v>TEC-PH-10000455</v>
      </c>
      <c r="U6" t="str">
        <v>OFF-ST-10003692</v>
      </c>
      <c r="V6" t="str">
        <v>TEC-AC-10002217</v>
      </c>
      <c r="W6" t="str">
        <v>TEC-AC-10002942</v>
      </c>
      <c r="X6" t="str">
        <v>TEC-PH-10002890</v>
      </c>
      <c r="Y6" t="str">
        <v>FUR-TA-10000617</v>
      </c>
      <c r="Z6" t="str">
        <v>OFF-BI-10004364</v>
      </c>
      <c r="AA6" t="str">
        <v>TEC-CO-10000971</v>
      </c>
      <c r="AE6" s="23" t="s">
        <v>463</v>
      </c>
      <c r="AF6" s="25">
        <v>405.34399999999999</v>
      </c>
      <c r="AG6" s="25">
        <v>10</v>
      </c>
      <c r="AH6" s="25">
        <v>64.046000000000006</v>
      </c>
    </row>
    <row r="7" spans="1:34" x14ac:dyDescent="0.25">
      <c r="A7" t="s">
        <v>437</v>
      </c>
      <c r="B7" s="9">
        <v>43525</v>
      </c>
      <c r="C7" t="s">
        <v>17</v>
      </c>
      <c r="D7" t="s">
        <v>198</v>
      </c>
      <c r="E7">
        <v>165.6</v>
      </c>
      <c r="F7">
        <v>3</v>
      </c>
      <c r="G7">
        <v>-6.21</v>
      </c>
      <c r="I7">
        <f>COUNT(A:A)</f>
        <v>0</v>
      </c>
      <c r="K7" t="s">
        <v>181</v>
      </c>
      <c r="L7">
        <v>73.94</v>
      </c>
      <c r="M7">
        <v>1</v>
      </c>
      <c r="N7">
        <v>28.2668</v>
      </c>
      <c r="Q7" t="str">
        <v>Sales</v>
      </c>
      <c r="R7">
        <v>73.94</v>
      </c>
      <c r="S7">
        <v>173.94</v>
      </c>
      <c r="T7">
        <v>231.98</v>
      </c>
      <c r="U7">
        <v>114.46</v>
      </c>
      <c r="V7">
        <v>30.08</v>
      </c>
      <c r="W7">
        <v>165.6</v>
      </c>
      <c r="X7">
        <v>180.96</v>
      </c>
      <c r="Y7">
        <v>1592.85</v>
      </c>
      <c r="Z7">
        <v>11.88</v>
      </c>
      <c r="AA7">
        <v>959.96799999999996</v>
      </c>
      <c r="AE7" s="23" t="s">
        <v>465</v>
      </c>
      <c r="AF7" s="25">
        <v>510.28700000000003</v>
      </c>
      <c r="AG7" s="25">
        <v>12</v>
      </c>
      <c r="AH7" s="25">
        <v>109.75699999999999</v>
      </c>
    </row>
    <row r="8" spans="1:34" x14ac:dyDescent="0.25">
      <c r="A8" t="s">
        <v>437</v>
      </c>
      <c r="B8" s="9">
        <v>43525</v>
      </c>
      <c r="C8" t="s">
        <v>17</v>
      </c>
      <c r="D8" t="s">
        <v>201</v>
      </c>
      <c r="E8">
        <v>180.96</v>
      </c>
      <c r="F8">
        <v>5</v>
      </c>
      <c r="G8">
        <v>13.571999999999999</v>
      </c>
      <c r="I8">
        <f>COUNT(ORDERS_TABLE[Order ID])</f>
        <v>0</v>
      </c>
      <c r="K8" t="s">
        <v>181</v>
      </c>
      <c r="L8">
        <v>173.94</v>
      </c>
      <c r="M8">
        <v>3</v>
      </c>
      <c r="N8">
        <v>38.266800000000003</v>
      </c>
      <c r="Q8" t="str">
        <v>Quantity</v>
      </c>
      <c r="R8">
        <v>1</v>
      </c>
      <c r="S8">
        <v>3</v>
      </c>
      <c r="T8">
        <v>2</v>
      </c>
      <c r="U8">
        <v>2</v>
      </c>
      <c r="V8">
        <v>2</v>
      </c>
      <c r="W8">
        <v>3</v>
      </c>
      <c r="X8">
        <v>5</v>
      </c>
      <c r="Y8">
        <v>7</v>
      </c>
      <c r="Z8">
        <v>2</v>
      </c>
      <c r="AA8">
        <v>4</v>
      </c>
      <c r="AE8" s="26">
        <v>43466</v>
      </c>
      <c r="AF8" s="25">
        <v>73.94</v>
      </c>
      <c r="AG8" s="25">
        <v>1</v>
      </c>
      <c r="AH8" s="25">
        <v>28.2668</v>
      </c>
    </row>
    <row r="9" spans="1:34" x14ac:dyDescent="0.25">
      <c r="A9" t="s">
        <v>438</v>
      </c>
      <c r="B9" s="9">
        <v>43525</v>
      </c>
      <c r="C9" t="s">
        <v>22</v>
      </c>
      <c r="D9" t="s">
        <v>204</v>
      </c>
      <c r="E9">
        <v>1592.85</v>
      </c>
      <c r="F9">
        <v>7</v>
      </c>
      <c r="G9">
        <v>350.42700000000002</v>
      </c>
      <c r="K9" t="s">
        <v>186</v>
      </c>
      <c r="L9">
        <v>231.98</v>
      </c>
      <c r="M9">
        <v>2</v>
      </c>
      <c r="N9">
        <v>67.274199999999993</v>
      </c>
      <c r="Q9" t="str">
        <v>Profit</v>
      </c>
      <c r="R9">
        <v>28.2668</v>
      </c>
      <c r="S9">
        <v>38.266800000000003</v>
      </c>
      <c r="T9">
        <v>67.274199999999993</v>
      </c>
      <c r="U9">
        <v>28.614999999999998</v>
      </c>
      <c r="V9">
        <v>-5.2640000000000002</v>
      </c>
      <c r="W9">
        <v>-6.21</v>
      </c>
      <c r="X9">
        <v>13.571999999999999</v>
      </c>
      <c r="Y9">
        <v>350.42700000000002</v>
      </c>
      <c r="Z9">
        <v>5.3460000000000001</v>
      </c>
      <c r="AA9">
        <v>119.996</v>
      </c>
      <c r="AE9" s="26">
        <v>43497</v>
      </c>
      <c r="AF9" s="25">
        <v>405.91999999999996</v>
      </c>
      <c r="AG9" s="25">
        <v>5</v>
      </c>
      <c r="AH9" s="25">
        <v>105.541</v>
      </c>
    </row>
    <row r="10" spans="1:34" x14ac:dyDescent="0.25">
      <c r="A10" t="s">
        <v>438</v>
      </c>
      <c r="B10" s="9">
        <v>43525</v>
      </c>
      <c r="C10" t="s">
        <v>22</v>
      </c>
      <c r="D10" t="s">
        <v>206</v>
      </c>
      <c r="E10">
        <v>11.88</v>
      </c>
      <c r="F10">
        <v>2</v>
      </c>
      <c r="G10">
        <v>5.3460000000000001</v>
      </c>
      <c r="I10">
        <f>YEAR(B6)</f>
        <v>2019</v>
      </c>
      <c r="K10" t="s">
        <v>190</v>
      </c>
      <c r="L10">
        <v>114.46</v>
      </c>
      <c r="M10">
        <v>2</v>
      </c>
      <c r="N10">
        <v>28.614999999999998</v>
      </c>
      <c r="AE10" s="26">
        <v>43525</v>
      </c>
      <c r="AF10" s="25">
        <v>2095.83</v>
      </c>
      <c r="AG10" s="25">
        <v>21</v>
      </c>
      <c r="AH10" s="25">
        <v>386.48600000000005</v>
      </c>
    </row>
    <row r="11" spans="1:34" x14ac:dyDescent="0.25">
      <c r="A11" t="s">
        <v>439</v>
      </c>
      <c r="B11" s="9">
        <v>43556</v>
      </c>
      <c r="C11" t="s">
        <v>26</v>
      </c>
      <c r="D11" t="s">
        <v>209</v>
      </c>
      <c r="E11">
        <v>959.96799999999996</v>
      </c>
      <c r="F11">
        <v>4</v>
      </c>
      <c r="G11">
        <v>119.996</v>
      </c>
      <c r="I11" s="14">
        <f>MONTH(ORDERS_TABLE[[#This Row],[Order Date]])</f>
        <v>4</v>
      </c>
      <c r="K11" t="s">
        <v>195</v>
      </c>
      <c r="L11">
        <v>30.08</v>
      </c>
      <c r="M11">
        <v>2</v>
      </c>
      <c r="N11">
        <v>-5.2640000000000002</v>
      </c>
      <c r="S11" s="15"/>
      <c r="T11" s="15"/>
      <c r="U11" s="15"/>
      <c r="V11" s="15"/>
      <c r="AE11" s="26">
        <v>43556</v>
      </c>
      <c r="AF11" s="25">
        <v>1069.22</v>
      </c>
      <c r="AG11" s="25">
        <v>11</v>
      </c>
      <c r="AH11" s="25">
        <v>40.402000000000001</v>
      </c>
    </row>
    <row r="12" spans="1:34" x14ac:dyDescent="0.25">
      <c r="A12" t="s">
        <v>440</v>
      </c>
      <c r="B12" s="9">
        <v>43556</v>
      </c>
      <c r="C12" t="s">
        <v>31</v>
      </c>
      <c r="D12" t="s">
        <v>213</v>
      </c>
      <c r="E12">
        <v>4.6719999999999997</v>
      </c>
      <c r="F12">
        <v>1</v>
      </c>
      <c r="G12">
        <v>0.58399999999999996</v>
      </c>
      <c r="I12" s="9">
        <f>DATE(2019,4,14)</f>
        <v>43569</v>
      </c>
      <c r="K12" t="s">
        <v>198</v>
      </c>
      <c r="L12">
        <v>165.6</v>
      </c>
      <c r="M12">
        <v>3</v>
      </c>
      <c r="N12">
        <v>-6.21</v>
      </c>
      <c r="S12" s="15"/>
      <c r="T12" s="15" t="s">
        <v>441</v>
      </c>
      <c r="U12" s="15"/>
      <c r="V12" s="15"/>
      <c r="AE12" s="26">
        <v>43586</v>
      </c>
      <c r="AF12" s="25">
        <v>255.904</v>
      </c>
      <c r="AG12" s="25">
        <v>10</v>
      </c>
      <c r="AH12" s="25">
        <v>46.456800000000008</v>
      </c>
    </row>
    <row r="13" spans="1:34" x14ac:dyDescent="0.25">
      <c r="A13" t="s">
        <v>440</v>
      </c>
      <c r="B13" s="9">
        <v>43556</v>
      </c>
      <c r="C13" t="s">
        <v>31</v>
      </c>
      <c r="D13" t="s">
        <v>216</v>
      </c>
      <c r="E13">
        <v>104.58</v>
      </c>
      <c r="F13">
        <v>6</v>
      </c>
      <c r="G13">
        <v>-80.177999999999997</v>
      </c>
      <c r="K13" t="s">
        <v>201</v>
      </c>
      <c r="L13">
        <v>180.96</v>
      </c>
      <c r="M13">
        <v>5</v>
      </c>
      <c r="N13">
        <v>13.571999999999999</v>
      </c>
      <c r="S13" s="15"/>
      <c r="T13" s="15">
        <f>HLOOKUP(T6,R6:AA9,3,0)</f>
        <v>2</v>
      </c>
      <c r="U13" s="15"/>
      <c r="V13" s="15"/>
      <c r="AE13" s="26">
        <v>43647</v>
      </c>
      <c r="AF13" s="25">
        <v>83.575999999999993</v>
      </c>
      <c r="AG13" s="25">
        <v>9</v>
      </c>
      <c r="AH13" s="25">
        <v>8.1390999999999991</v>
      </c>
    </row>
    <row r="14" spans="1:34" x14ac:dyDescent="0.25">
      <c r="A14" t="s">
        <v>442</v>
      </c>
      <c r="B14" s="9">
        <v>43586</v>
      </c>
      <c r="C14" t="s">
        <v>35</v>
      </c>
      <c r="D14" t="s">
        <v>219</v>
      </c>
      <c r="E14">
        <v>191.47200000000001</v>
      </c>
      <c r="F14">
        <v>6</v>
      </c>
      <c r="G14">
        <v>40.687800000000003</v>
      </c>
      <c r="K14" t="s">
        <v>204</v>
      </c>
      <c r="L14">
        <v>1592.85</v>
      </c>
      <c r="M14">
        <v>7</v>
      </c>
      <c r="N14">
        <v>350.42700000000002</v>
      </c>
      <c r="S14" s="15"/>
      <c r="T14" s="15"/>
      <c r="U14" s="15"/>
      <c r="V14" s="15"/>
      <c r="AE14" s="26">
        <v>43678</v>
      </c>
      <c r="AF14" s="25">
        <v>1859.1580000000001</v>
      </c>
      <c r="AG14" s="25">
        <v>25</v>
      </c>
      <c r="AH14" s="25">
        <v>449.14030000000002</v>
      </c>
    </row>
    <row r="15" spans="1:34" x14ac:dyDescent="0.25">
      <c r="A15" t="s">
        <v>442</v>
      </c>
      <c r="B15" s="9">
        <v>43586</v>
      </c>
      <c r="C15" t="s">
        <v>35</v>
      </c>
      <c r="D15" t="s">
        <v>221</v>
      </c>
      <c r="E15">
        <v>5.2480000000000002</v>
      </c>
      <c r="F15">
        <v>2</v>
      </c>
      <c r="G15">
        <v>0.59040000000000004</v>
      </c>
      <c r="K15" t="s">
        <v>206</v>
      </c>
      <c r="L15">
        <v>11.88</v>
      </c>
      <c r="M15">
        <v>2</v>
      </c>
      <c r="N15">
        <v>5.3460000000000001</v>
      </c>
      <c r="S15" s="15"/>
      <c r="T15" s="15"/>
      <c r="U15" s="15"/>
      <c r="V15" s="15"/>
      <c r="AE15" s="26">
        <v>43709</v>
      </c>
      <c r="AF15" s="25">
        <v>743.04599999999994</v>
      </c>
      <c r="AG15" s="25">
        <v>16</v>
      </c>
      <c r="AH15" s="25">
        <v>264.49799999999999</v>
      </c>
    </row>
    <row r="16" spans="1:34" x14ac:dyDescent="0.25">
      <c r="A16" t="s">
        <v>442</v>
      </c>
      <c r="B16" s="9">
        <v>43586</v>
      </c>
      <c r="C16" t="s">
        <v>35</v>
      </c>
      <c r="D16" t="s">
        <v>224</v>
      </c>
      <c r="E16">
        <v>59.183999999999997</v>
      </c>
      <c r="F16">
        <v>2</v>
      </c>
      <c r="G16">
        <v>5.1786000000000003</v>
      </c>
      <c r="K16" t="s">
        <v>209</v>
      </c>
      <c r="L16">
        <v>959.96799999999996</v>
      </c>
      <c r="M16">
        <v>4</v>
      </c>
      <c r="N16">
        <v>119.996</v>
      </c>
      <c r="S16" s="15"/>
      <c r="T16" s="15"/>
      <c r="U16" s="15"/>
      <c r="V16" s="15"/>
      <c r="AE16" s="26">
        <v>43739</v>
      </c>
      <c r="AF16" s="25">
        <v>174.75</v>
      </c>
      <c r="AG16" s="25">
        <v>11</v>
      </c>
      <c r="AH16" s="25">
        <v>55.365299999999998</v>
      </c>
    </row>
    <row r="17" spans="1:34" x14ac:dyDescent="0.25">
      <c r="A17" t="s">
        <v>443</v>
      </c>
      <c r="B17" s="9">
        <v>43647</v>
      </c>
      <c r="C17" t="s">
        <v>39</v>
      </c>
      <c r="D17" t="s">
        <v>226</v>
      </c>
      <c r="E17">
        <v>34.58</v>
      </c>
      <c r="F17">
        <v>1</v>
      </c>
      <c r="G17">
        <v>10.0282</v>
      </c>
      <c r="K17" t="s">
        <v>213</v>
      </c>
      <c r="L17">
        <v>4.6719999999999997</v>
      </c>
      <c r="M17">
        <v>1</v>
      </c>
      <c r="N17">
        <v>0.58399999999999996</v>
      </c>
      <c r="S17" s="15"/>
      <c r="T17" s="15"/>
      <c r="U17" s="15"/>
      <c r="V17" s="15"/>
      <c r="AE17" s="26">
        <v>43770</v>
      </c>
      <c r="AF17" s="25">
        <v>149.44399999999999</v>
      </c>
      <c r="AG17" s="25">
        <v>22</v>
      </c>
      <c r="AH17" s="25">
        <v>25.083399999999997</v>
      </c>
    </row>
    <row r="18" spans="1:34" x14ac:dyDescent="0.25">
      <c r="A18" t="s">
        <v>444</v>
      </c>
      <c r="B18" s="9">
        <v>43647</v>
      </c>
      <c r="C18" t="s">
        <v>42</v>
      </c>
      <c r="D18" t="s">
        <v>229</v>
      </c>
      <c r="E18">
        <v>23.076000000000001</v>
      </c>
      <c r="F18">
        <v>3</v>
      </c>
      <c r="G18">
        <v>-10.9611</v>
      </c>
      <c r="K18" t="s">
        <v>216</v>
      </c>
      <c r="L18">
        <v>104.58</v>
      </c>
      <c r="M18">
        <v>6</v>
      </c>
      <c r="N18">
        <v>-80.177999999999997</v>
      </c>
      <c r="S18" s="16" t="s">
        <v>445</v>
      </c>
      <c r="T18" s="16"/>
      <c r="AE18" s="23" t="s">
        <v>521</v>
      </c>
      <c r="AF18" s="25">
        <v>7826.4190000000008</v>
      </c>
      <c r="AG18" s="25">
        <v>153</v>
      </c>
      <c r="AH18" s="25">
        <v>1583.1817000000001</v>
      </c>
    </row>
    <row r="19" spans="1:34" x14ac:dyDescent="0.25">
      <c r="A19" t="s">
        <v>444</v>
      </c>
      <c r="B19" s="9">
        <v>43647</v>
      </c>
      <c r="C19" t="s">
        <v>42</v>
      </c>
      <c r="D19" t="s">
        <v>231</v>
      </c>
      <c r="E19">
        <v>25.92</v>
      </c>
      <c r="F19">
        <v>5</v>
      </c>
      <c r="G19">
        <v>9.0719999999999992</v>
      </c>
      <c r="K19" t="s">
        <v>219</v>
      </c>
      <c r="L19">
        <v>191.47200000000001</v>
      </c>
      <c r="M19">
        <v>6</v>
      </c>
      <c r="N19">
        <v>40.687800000000003</v>
      </c>
      <c r="S19" s="16"/>
      <c r="T19" s="16"/>
    </row>
    <row r="20" spans="1:34" x14ac:dyDescent="0.25">
      <c r="A20" t="s">
        <v>446</v>
      </c>
      <c r="B20" s="9">
        <v>43678</v>
      </c>
      <c r="C20" t="s">
        <v>45</v>
      </c>
      <c r="D20" t="s">
        <v>234</v>
      </c>
      <c r="E20">
        <v>1565.88</v>
      </c>
      <c r="F20">
        <v>6</v>
      </c>
      <c r="G20">
        <v>407.12880000000001</v>
      </c>
      <c r="K20" t="s">
        <v>221</v>
      </c>
      <c r="L20">
        <v>5.2480000000000002</v>
      </c>
      <c r="M20">
        <v>2</v>
      </c>
      <c r="N20">
        <v>0.59040000000000004</v>
      </c>
      <c r="S20" s="16"/>
      <c r="T20" s="16"/>
    </row>
    <row r="21" spans="1:34" x14ac:dyDescent="0.25">
      <c r="A21" t="s">
        <v>446</v>
      </c>
      <c r="B21" s="9">
        <v>43678</v>
      </c>
      <c r="C21" t="s">
        <v>45</v>
      </c>
      <c r="D21" t="s">
        <v>236</v>
      </c>
      <c r="E21">
        <v>106.05</v>
      </c>
      <c r="F21">
        <v>7</v>
      </c>
      <c r="G21">
        <v>49.843499999999999</v>
      </c>
      <c r="K21" t="s">
        <v>224</v>
      </c>
      <c r="L21">
        <v>59.183999999999997</v>
      </c>
      <c r="M21">
        <v>2</v>
      </c>
      <c r="N21">
        <v>5.1786000000000003</v>
      </c>
    </row>
    <row r="22" spans="1:34" x14ac:dyDescent="0.25">
      <c r="A22" t="s">
        <v>447</v>
      </c>
      <c r="B22" s="9">
        <v>43678</v>
      </c>
      <c r="C22" t="s">
        <v>49</v>
      </c>
      <c r="D22" t="s">
        <v>238</v>
      </c>
      <c r="E22">
        <v>30.827999999999999</v>
      </c>
      <c r="F22">
        <v>7</v>
      </c>
      <c r="G22">
        <v>-24.662400000000002</v>
      </c>
      <c r="K22" t="s">
        <v>226</v>
      </c>
      <c r="L22">
        <v>34.58</v>
      </c>
      <c r="M22">
        <v>1</v>
      </c>
      <c r="N22">
        <v>10.0282</v>
      </c>
      <c r="R22" t="s">
        <v>177</v>
      </c>
      <c r="S22" t="s">
        <v>432</v>
      </c>
      <c r="T22" t="s">
        <v>433</v>
      </c>
      <c r="U22" t="s">
        <v>434</v>
      </c>
    </row>
    <row r="23" spans="1:34" x14ac:dyDescent="0.25">
      <c r="A23" t="s">
        <v>447</v>
      </c>
      <c r="B23" s="9">
        <v>43678</v>
      </c>
      <c r="C23" t="s">
        <v>49</v>
      </c>
      <c r="D23" t="s">
        <v>240</v>
      </c>
      <c r="E23">
        <v>47.616</v>
      </c>
      <c r="F23">
        <v>3</v>
      </c>
      <c r="G23">
        <v>5.952</v>
      </c>
      <c r="K23" t="s">
        <v>229</v>
      </c>
      <c r="L23">
        <v>23.076000000000001</v>
      </c>
      <c r="M23">
        <v>3</v>
      </c>
      <c r="N23">
        <v>-10.9611</v>
      </c>
      <c r="R23" t="s">
        <v>181</v>
      </c>
      <c r="S23">
        <v>73.94</v>
      </c>
      <c r="T23">
        <v>1</v>
      </c>
      <c r="U23">
        <v>28.2668</v>
      </c>
    </row>
    <row r="24" spans="1:34" x14ac:dyDescent="0.25">
      <c r="A24" t="s">
        <v>447</v>
      </c>
      <c r="B24" s="9">
        <v>43678</v>
      </c>
      <c r="C24" t="s">
        <v>49</v>
      </c>
      <c r="D24" t="s">
        <v>243</v>
      </c>
      <c r="E24">
        <v>108.78400000000001</v>
      </c>
      <c r="F24">
        <v>2</v>
      </c>
      <c r="G24">
        <v>10.878399999999999</v>
      </c>
      <c r="K24" t="s">
        <v>231</v>
      </c>
      <c r="L24">
        <v>25.92</v>
      </c>
      <c r="M24">
        <v>5</v>
      </c>
      <c r="N24">
        <v>9.0719999999999992</v>
      </c>
      <c r="R24" t="s">
        <v>181</v>
      </c>
      <c r="S24">
        <v>173.94</v>
      </c>
      <c r="T24">
        <v>3</v>
      </c>
      <c r="U24">
        <v>38.266800000000003</v>
      </c>
      <c r="W24" t="s">
        <v>448</v>
      </c>
      <c r="X24">
        <f>SUM(U23:U32)</f>
        <v>640.28980000000001</v>
      </c>
    </row>
    <row r="25" spans="1:34" x14ac:dyDescent="0.25">
      <c r="A25" t="s">
        <v>449</v>
      </c>
      <c r="B25" s="9">
        <v>43709</v>
      </c>
      <c r="C25" t="s">
        <v>52</v>
      </c>
      <c r="D25" t="s">
        <v>245</v>
      </c>
      <c r="E25">
        <v>349.95</v>
      </c>
      <c r="F25">
        <v>5</v>
      </c>
      <c r="G25">
        <v>118.983</v>
      </c>
      <c r="K25" t="s">
        <v>234</v>
      </c>
      <c r="L25">
        <v>1565.88</v>
      </c>
      <c r="M25">
        <v>6</v>
      </c>
      <c r="N25">
        <v>407.12880000000001</v>
      </c>
      <c r="R25" t="s">
        <v>186</v>
      </c>
      <c r="S25">
        <v>231.98</v>
      </c>
      <c r="T25">
        <v>2</v>
      </c>
      <c r="U25">
        <v>67.274199999999993</v>
      </c>
      <c r="W25" t="s">
        <v>450</v>
      </c>
      <c r="X25">
        <f>SUMIF(S23:S32,S26,U23:U32)</f>
        <v>28.614999999999998</v>
      </c>
    </row>
    <row r="26" spans="1:34" x14ac:dyDescent="0.25">
      <c r="A26" t="s">
        <v>449</v>
      </c>
      <c r="B26" s="9">
        <v>43709</v>
      </c>
      <c r="C26" t="s">
        <v>52</v>
      </c>
      <c r="D26" t="s">
        <v>247</v>
      </c>
      <c r="E26">
        <v>377.928</v>
      </c>
      <c r="F26">
        <v>9</v>
      </c>
      <c r="G26">
        <v>141.72300000000001</v>
      </c>
      <c r="K26" t="s">
        <v>236</v>
      </c>
      <c r="L26">
        <v>106.05</v>
      </c>
      <c r="M26">
        <v>7</v>
      </c>
      <c r="N26">
        <v>49.843499999999999</v>
      </c>
      <c r="R26" t="s">
        <v>190</v>
      </c>
      <c r="S26">
        <v>114.46</v>
      </c>
      <c r="T26">
        <v>2</v>
      </c>
      <c r="U26">
        <v>28.614999999999998</v>
      </c>
      <c r="W26" t="s">
        <v>451</v>
      </c>
      <c r="X26">
        <f>SUMIFS(U23:U32,S23:S32,S28,T23:T32,T24)</f>
        <v>-6.21</v>
      </c>
    </row>
    <row r="27" spans="1:34" x14ac:dyDescent="0.25">
      <c r="A27" t="s">
        <v>452</v>
      </c>
      <c r="B27" s="9">
        <v>43709</v>
      </c>
      <c r="C27" t="s">
        <v>55</v>
      </c>
      <c r="D27" t="s">
        <v>249</v>
      </c>
      <c r="E27">
        <v>15.167999999999999</v>
      </c>
      <c r="F27">
        <v>2</v>
      </c>
      <c r="G27">
        <v>3.7919999999999998</v>
      </c>
      <c r="R27" t="s">
        <v>195</v>
      </c>
      <c r="S27">
        <v>30.08</v>
      </c>
      <c r="T27">
        <v>2</v>
      </c>
      <c r="U27">
        <v>-5.2640000000000002</v>
      </c>
      <c r="W27" t="s">
        <v>453</v>
      </c>
      <c r="X27">
        <f>AVERAGE(U23:U32)</f>
        <v>64.028980000000004</v>
      </c>
    </row>
    <row r="28" spans="1:34" x14ac:dyDescent="0.25">
      <c r="A28" t="s">
        <v>454</v>
      </c>
      <c r="B28" s="9">
        <v>43739</v>
      </c>
      <c r="C28" t="s">
        <v>59</v>
      </c>
      <c r="D28" t="s">
        <v>252</v>
      </c>
      <c r="E28">
        <v>79.92</v>
      </c>
      <c r="F28">
        <v>4</v>
      </c>
      <c r="G28">
        <v>34.365600000000001</v>
      </c>
      <c r="R28" t="s">
        <v>198</v>
      </c>
      <c r="S28">
        <v>165.6</v>
      </c>
      <c r="T28">
        <v>3</v>
      </c>
      <c r="U28">
        <v>-6.21</v>
      </c>
      <c r="W28" t="s">
        <v>455</v>
      </c>
      <c r="X28">
        <f>AVERAGEIF(S23:S32,S27,U23:U32)</f>
        <v>-5.2640000000000002</v>
      </c>
    </row>
    <row r="29" spans="1:34" x14ac:dyDescent="0.25">
      <c r="A29" t="s">
        <v>454</v>
      </c>
      <c r="B29" s="9">
        <v>43739</v>
      </c>
      <c r="C29" t="s">
        <v>59</v>
      </c>
      <c r="D29" t="s">
        <v>255</v>
      </c>
      <c r="E29">
        <v>69.98</v>
      </c>
      <c r="F29">
        <v>2</v>
      </c>
      <c r="G29">
        <v>13.296200000000001</v>
      </c>
      <c r="K29" s="15" t="s">
        <v>456</v>
      </c>
      <c r="L29" s="15"/>
      <c r="M29" s="15"/>
      <c r="N29" s="15"/>
      <c r="R29" t="s">
        <v>201</v>
      </c>
      <c r="S29">
        <v>180.96</v>
      </c>
      <c r="T29">
        <v>5</v>
      </c>
      <c r="U29">
        <v>13.571999999999999</v>
      </c>
      <c r="W29" t="s">
        <v>457</v>
      </c>
      <c r="X29">
        <f>AVERAGEIFS(U23:U32,S23:S32,S26,T23:T32,T31)</f>
        <v>28.614999999999998</v>
      </c>
    </row>
    <row r="30" spans="1:34" x14ac:dyDescent="0.25">
      <c r="A30" t="s">
        <v>458</v>
      </c>
      <c r="B30" s="9">
        <v>43739</v>
      </c>
      <c r="C30" t="s">
        <v>63</v>
      </c>
      <c r="D30" t="s">
        <v>257</v>
      </c>
      <c r="E30">
        <v>24.85</v>
      </c>
      <c r="F30">
        <v>5</v>
      </c>
      <c r="G30">
        <v>7.7035</v>
      </c>
      <c r="K30" s="15">
        <f>VLOOKUP(K21,K7:N26,2,1)</f>
        <v>59.183999999999997</v>
      </c>
      <c r="L30" s="15"/>
      <c r="M30" s="15"/>
      <c r="N30" s="15"/>
      <c r="R30" t="s">
        <v>204</v>
      </c>
      <c r="S30">
        <v>1592.85</v>
      </c>
      <c r="T30">
        <v>7</v>
      </c>
      <c r="U30">
        <v>350.42700000000002</v>
      </c>
    </row>
    <row r="31" spans="1:34" x14ac:dyDescent="0.25">
      <c r="A31" t="s">
        <v>459</v>
      </c>
      <c r="B31" s="9">
        <v>43770</v>
      </c>
      <c r="C31" t="s">
        <v>66</v>
      </c>
      <c r="D31" t="s">
        <v>261</v>
      </c>
      <c r="E31">
        <v>15.552</v>
      </c>
      <c r="F31">
        <v>3</v>
      </c>
      <c r="G31">
        <v>5.4432</v>
      </c>
      <c r="K31" s="15"/>
      <c r="L31" s="15"/>
      <c r="M31" s="15"/>
      <c r="N31" s="15"/>
      <c r="R31" t="s">
        <v>206</v>
      </c>
      <c r="S31">
        <v>11.88</v>
      </c>
      <c r="T31">
        <v>2</v>
      </c>
      <c r="U31">
        <v>5.3460000000000001</v>
      </c>
    </row>
    <row r="32" spans="1:34" x14ac:dyDescent="0.25">
      <c r="A32" t="s">
        <v>459</v>
      </c>
      <c r="B32" s="9">
        <v>43770</v>
      </c>
      <c r="C32" t="s">
        <v>66</v>
      </c>
      <c r="D32" t="s">
        <v>263</v>
      </c>
      <c r="E32">
        <v>63.311999999999998</v>
      </c>
      <c r="F32">
        <v>3</v>
      </c>
      <c r="G32">
        <v>20.5764</v>
      </c>
      <c r="K32" s="15" t="s">
        <v>460</v>
      </c>
      <c r="L32" s="15"/>
      <c r="M32" s="15"/>
      <c r="N32" s="15"/>
      <c r="R32" t="s">
        <v>209</v>
      </c>
      <c r="S32">
        <v>959.96799999999996</v>
      </c>
      <c r="T32">
        <v>4</v>
      </c>
      <c r="U32">
        <v>119.996</v>
      </c>
    </row>
    <row r="33" spans="1:14" x14ac:dyDescent="0.25">
      <c r="A33" t="s">
        <v>459</v>
      </c>
      <c r="B33" s="9">
        <v>43770</v>
      </c>
      <c r="C33" t="s">
        <v>66</v>
      </c>
      <c r="D33" t="s">
        <v>265</v>
      </c>
      <c r="E33">
        <v>15.587999999999999</v>
      </c>
      <c r="F33">
        <v>2</v>
      </c>
      <c r="G33">
        <v>-9.8724000000000007</v>
      </c>
      <c r="K33" s="15">
        <f>VLOOKUP(L25,L7:N26,3,0)</f>
        <v>407.12880000000001</v>
      </c>
      <c r="L33" s="15"/>
      <c r="M33" s="15"/>
      <c r="N33" s="15"/>
    </row>
    <row r="34" spans="1:14" x14ac:dyDescent="0.25">
      <c r="A34" t="s">
        <v>461</v>
      </c>
      <c r="B34" s="9">
        <v>43770</v>
      </c>
      <c r="C34" t="s">
        <v>69</v>
      </c>
      <c r="D34" t="s">
        <v>268</v>
      </c>
      <c r="E34">
        <v>54.991999999999997</v>
      </c>
      <c r="F34">
        <v>14</v>
      </c>
      <c r="G34">
        <v>8.9361999999999995</v>
      </c>
      <c r="K34" s="15"/>
      <c r="L34" s="15"/>
      <c r="M34" s="15"/>
      <c r="N34" s="15"/>
    </row>
    <row r="35" spans="1:14" x14ac:dyDescent="0.25">
      <c r="A35" t="s">
        <v>462</v>
      </c>
      <c r="B35" t="s">
        <v>463</v>
      </c>
      <c r="C35" t="s">
        <v>72</v>
      </c>
      <c r="D35" t="s">
        <v>270</v>
      </c>
      <c r="E35">
        <v>89.567999999999998</v>
      </c>
      <c r="F35">
        <v>2</v>
      </c>
      <c r="G35">
        <v>32.468400000000003</v>
      </c>
    </row>
    <row r="36" spans="1:14" x14ac:dyDescent="0.25">
      <c r="A36" t="s">
        <v>462</v>
      </c>
      <c r="B36" t="s">
        <v>463</v>
      </c>
      <c r="C36" t="s">
        <v>72</v>
      </c>
      <c r="D36" t="s">
        <v>273</v>
      </c>
      <c r="E36">
        <v>315.77600000000001</v>
      </c>
      <c r="F36">
        <v>8</v>
      </c>
      <c r="G36">
        <v>31.5776</v>
      </c>
    </row>
    <row r="37" spans="1:14" x14ac:dyDescent="0.25">
      <c r="A37" t="s">
        <v>464</v>
      </c>
      <c r="B37" t="s">
        <v>465</v>
      </c>
      <c r="C37" t="s">
        <v>75</v>
      </c>
      <c r="D37" t="s">
        <v>276</v>
      </c>
      <c r="E37">
        <v>52.34</v>
      </c>
      <c r="F37">
        <v>2</v>
      </c>
      <c r="G37">
        <v>24.599799999999998</v>
      </c>
    </row>
    <row r="38" spans="1:14" x14ac:dyDescent="0.25">
      <c r="A38" t="s">
        <v>464</v>
      </c>
      <c r="B38" t="s">
        <v>465</v>
      </c>
      <c r="C38" t="s">
        <v>75</v>
      </c>
      <c r="D38" t="s">
        <v>278</v>
      </c>
      <c r="E38">
        <v>4.66</v>
      </c>
      <c r="F38">
        <v>2</v>
      </c>
      <c r="G38">
        <v>1.3513999999999999</v>
      </c>
    </row>
    <row r="39" spans="1:14" x14ac:dyDescent="0.25">
      <c r="A39" t="s">
        <v>464</v>
      </c>
      <c r="B39" t="s">
        <v>465</v>
      </c>
      <c r="C39" t="s">
        <v>75</v>
      </c>
      <c r="D39" t="s">
        <v>280</v>
      </c>
      <c r="E39">
        <v>254.97</v>
      </c>
      <c r="F39">
        <v>3</v>
      </c>
      <c r="G39">
        <v>91.789199999999994</v>
      </c>
    </row>
    <row r="40" spans="1:14" x14ac:dyDescent="0.25">
      <c r="A40" t="s">
        <v>466</v>
      </c>
      <c r="B40" t="s">
        <v>465</v>
      </c>
      <c r="C40" t="s">
        <v>80</v>
      </c>
      <c r="D40" t="s">
        <v>283</v>
      </c>
      <c r="E40">
        <v>181.797</v>
      </c>
      <c r="F40">
        <v>1</v>
      </c>
      <c r="G40">
        <v>-15.582599999999999</v>
      </c>
    </row>
    <row r="41" spans="1:14" x14ac:dyDescent="0.25">
      <c r="A41" t="s">
        <v>467</v>
      </c>
      <c r="B41" t="s">
        <v>465</v>
      </c>
      <c r="C41" t="s">
        <v>84</v>
      </c>
      <c r="D41" t="s">
        <v>285</v>
      </c>
      <c r="E41">
        <v>16.52</v>
      </c>
      <c r="F41">
        <v>4</v>
      </c>
      <c r="G41">
        <v>7.5991999999999997</v>
      </c>
    </row>
    <row r="42" spans="1:14" x14ac:dyDescent="0.25">
      <c r="A42" t="s">
        <v>467</v>
      </c>
      <c r="B42" t="s">
        <v>465</v>
      </c>
      <c r="C42" t="s">
        <v>84</v>
      </c>
      <c r="D42" t="s">
        <v>287</v>
      </c>
      <c r="E42">
        <v>60.12</v>
      </c>
      <c r="F42">
        <v>9</v>
      </c>
      <c r="G42">
        <v>28.857600000000001</v>
      </c>
    </row>
    <row r="43" spans="1:14" x14ac:dyDescent="0.25">
      <c r="A43" t="s">
        <v>467</v>
      </c>
      <c r="B43" t="s">
        <v>465</v>
      </c>
      <c r="C43" t="s">
        <v>84</v>
      </c>
      <c r="D43" t="s">
        <v>289</v>
      </c>
      <c r="E43">
        <v>49.536000000000001</v>
      </c>
      <c r="F43">
        <v>3</v>
      </c>
      <c r="G43">
        <v>17.337599999999998</v>
      </c>
    </row>
    <row r="44" spans="1:14" x14ac:dyDescent="0.25">
      <c r="A44" t="s">
        <v>468</v>
      </c>
      <c r="B44" t="s">
        <v>465</v>
      </c>
      <c r="C44" t="s">
        <v>88</v>
      </c>
      <c r="D44" t="s">
        <v>292</v>
      </c>
      <c r="E44">
        <v>81.98</v>
      </c>
      <c r="F44">
        <v>2</v>
      </c>
      <c r="G44">
        <v>40.170200000000001</v>
      </c>
    </row>
    <row r="45" spans="1:14" x14ac:dyDescent="0.25">
      <c r="A45" t="s">
        <v>469</v>
      </c>
      <c r="B45" t="s">
        <v>470</v>
      </c>
      <c r="C45" t="s">
        <v>90</v>
      </c>
      <c r="D45" t="s">
        <v>295</v>
      </c>
      <c r="E45">
        <v>11.648</v>
      </c>
      <c r="F45">
        <v>2</v>
      </c>
      <c r="G45">
        <v>4.2224000000000004</v>
      </c>
    </row>
    <row r="46" spans="1:14" x14ac:dyDescent="0.25">
      <c r="A46" t="s">
        <v>469</v>
      </c>
      <c r="B46" t="s">
        <v>470</v>
      </c>
      <c r="C46" t="s">
        <v>90</v>
      </c>
      <c r="D46" t="s">
        <v>297</v>
      </c>
      <c r="E46">
        <v>90.57</v>
      </c>
      <c r="F46">
        <v>3</v>
      </c>
      <c r="G46">
        <v>11.774100000000001</v>
      </c>
    </row>
    <row r="47" spans="1:14" x14ac:dyDescent="0.25">
      <c r="A47" t="s">
        <v>471</v>
      </c>
      <c r="B47" t="s">
        <v>472</v>
      </c>
      <c r="C47" t="s">
        <v>92</v>
      </c>
      <c r="D47" t="s">
        <v>299</v>
      </c>
      <c r="E47">
        <v>322.58999999999997</v>
      </c>
      <c r="F47">
        <v>3</v>
      </c>
      <c r="G47">
        <v>64.518000000000001</v>
      </c>
    </row>
    <row r="48" spans="1:14" x14ac:dyDescent="0.25">
      <c r="A48" t="s">
        <v>471</v>
      </c>
      <c r="B48" t="s">
        <v>472</v>
      </c>
      <c r="C48" t="s">
        <v>92</v>
      </c>
      <c r="D48" t="s">
        <v>301</v>
      </c>
      <c r="E48">
        <v>29.99</v>
      </c>
      <c r="F48">
        <v>1</v>
      </c>
      <c r="G48">
        <v>13.195600000000001</v>
      </c>
    </row>
    <row r="49" spans="1:7" x14ac:dyDescent="0.25">
      <c r="A49" t="s">
        <v>471</v>
      </c>
      <c r="B49" t="s">
        <v>472</v>
      </c>
      <c r="C49" t="s">
        <v>92</v>
      </c>
      <c r="D49" t="s">
        <v>303</v>
      </c>
      <c r="E49">
        <v>371.97</v>
      </c>
      <c r="F49">
        <v>3</v>
      </c>
      <c r="G49">
        <v>66.954599999999999</v>
      </c>
    </row>
    <row r="50" spans="1:7" x14ac:dyDescent="0.25">
      <c r="A50" t="s">
        <v>473</v>
      </c>
      <c r="B50" t="s">
        <v>472</v>
      </c>
      <c r="C50" t="s">
        <v>95</v>
      </c>
      <c r="D50" t="s">
        <v>305</v>
      </c>
      <c r="E50">
        <v>316</v>
      </c>
      <c r="F50">
        <v>4</v>
      </c>
      <c r="G50">
        <v>31.6</v>
      </c>
    </row>
    <row r="51" spans="1:7" x14ac:dyDescent="0.25">
      <c r="A51" t="s">
        <v>474</v>
      </c>
      <c r="B51" t="s">
        <v>475</v>
      </c>
      <c r="C51" t="s">
        <v>98</v>
      </c>
      <c r="D51" t="s">
        <v>307</v>
      </c>
      <c r="E51">
        <v>153.56800000000001</v>
      </c>
      <c r="F51">
        <v>2</v>
      </c>
      <c r="G51">
        <v>-5.7587999999999999</v>
      </c>
    </row>
    <row r="52" spans="1:7" x14ac:dyDescent="0.25">
      <c r="A52" t="s">
        <v>474</v>
      </c>
      <c r="B52" t="s">
        <v>475</v>
      </c>
      <c r="C52" t="s">
        <v>98</v>
      </c>
      <c r="D52" t="s">
        <v>309</v>
      </c>
      <c r="E52">
        <v>1013.4880000000001</v>
      </c>
      <c r="F52">
        <v>7</v>
      </c>
      <c r="G52">
        <v>76.011600000000001</v>
      </c>
    </row>
    <row r="53" spans="1:7" x14ac:dyDescent="0.25">
      <c r="A53" t="s">
        <v>476</v>
      </c>
      <c r="B53" t="s">
        <v>477</v>
      </c>
      <c r="C53" t="s">
        <v>101</v>
      </c>
      <c r="D53" t="s">
        <v>311</v>
      </c>
      <c r="E53">
        <v>7.56</v>
      </c>
      <c r="F53">
        <v>6</v>
      </c>
      <c r="G53">
        <v>0.3024</v>
      </c>
    </row>
    <row r="54" spans="1:7" x14ac:dyDescent="0.25">
      <c r="A54" t="s">
        <v>478</v>
      </c>
      <c r="B54" t="s">
        <v>477</v>
      </c>
      <c r="C54" t="s">
        <v>104</v>
      </c>
      <c r="D54" t="s">
        <v>313</v>
      </c>
      <c r="E54">
        <v>14.272</v>
      </c>
      <c r="F54">
        <v>8</v>
      </c>
      <c r="G54">
        <v>4.2816000000000001</v>
      </c>
    </row>
    <row r="55" spans="1:7" x14ac:dyDescent="0.25">
      <c r="A55" t="s">
        <v>478</v>
      </c>
      <c r="B55" t="s">
        <v>477</v>
      </c>
      <c r="C55" t="s">
        <v>104</v>
      </c>
      <c r="D55" t="s">
        <v>316</v>
      </c>
      <c r="E55">
        <v>451.13600000000002</v>
      </c>
      <c r="F55">
        <v>4</v>
      </c>
      <c r="G55">
        <v>-67.670400000000001</v>
      </c>
    </row>
    <row r="56" spans="1:7" x14ac:dyDescent="0.25">
      <c r="A56" t="s">
        <v>478</v>
      </c>
      <c r="B56" t="s">
        <v>477</v>
      </c>
      <c r="C56" t="s">
        <v>104</v>
      </c>
      <c r="D56" t="s">
        <v>318</v>
      </c>
      <c r="E56">
        <v>64.864000000000004</v>
      </c>
      <c r="F56">
        <v>4</v>
      </c>
      <c r="G56">
        <v>6.4863999999999997</v>
      </c>
    </row>
    <row r="57" spans="1:7" x14ac:dyDescent="0.25">
      <c r="A57" t="s">
        <v>479</v>
      </c>
      <c r="B57" t="s">
        <v>477</v>
      </c>
      <c r="C57" t="s">
        <v>35</v>
      </c>
      <c r="D57" t="s">
        <v>320</v>
      </c>
      <c r="E57">
        <v>109.9</v>
      </c>
      <c r="F57">
        <v>5</v>
      </c>
      <c r="G57">
        <v>37.366</v>
      </c>
    </row>
    <row r="58" spans="1:7" x14ac:dyDescent="0.25">
      <c r="A58" t="s">
        <v>480</v>
      </c>
      <c r="B58" t="s">
        <v>477</v>
      </c>
      <c r="C58" t="s">
        <v>107</v>
      </c>
      <c r="D58" t="s">
        <v>322</v>
      </c>
      <c r="E58">
        <v>12.96</v>
      </c>
      <c r="F58">
        <v>2</v>
      </c>
      <c r="G58">
        <v>6.2207999999999997</v>
      </c>
    </row>
    <row r="59" spans="1:7" x14ac:dyDescent="0.25">
      <c r="A59" t="s">
        <v>481</v>
      </c>
      <c r="B59" t="s">
        <v>477</v>
      </c>
      <c r="C59" t="s">
        <v>109</v>
      </c>
      <c r="D59" t="s">
        <v>324</v>
      </c>
      <c r="E59">
        <v>44.4</v>
      </c>
      <c r="F59">
        <v>3</v>
      </c>
      <c r="G59">
        <v>22.2</v>
      </c>
    </row>
    <row r="60" spans="1:7" x14ac:dyDescent="0.25">
      <c r="A60" t="s">
        <v>481</v>
      </c>
      <c r="B60" t="s">
        <v>477</v>
      </c>
      <c r="C60" t="s">
        <v>109</v>
      </c>
      <c r="D60" t="s">
        <v>327</v>
      </c>
      <c r="E60">
        <v>20.65</v>
      </c>
      <c r="F60">
        <v>5</v>
      </c>
      <c r="G60">
        <v>9.4990000000000006</v>
      </c>
    </row>
    <row r="61" spans="1:7" x14ac:dyDescent="0.25">
      <c r="A61" t="s">
        <v>482</v>
      </c>
      <c r="B61" t="s">
        <v>477</v>
      </c>
      <c r="C61" t="s">
        <v>111</v>
      </c>
      <c r="D61" t="s">
        <v>329</v>
      </c>
      <c r="E61">
        <v>110.376</v>
      </c>
      <c r="F61">
        <v>4</v>
      </c>
      <c r="G61">
        <v>-20.235600000000002</v>
      </c>
    </row>
    <row r="62" spans="1:7" x14ac:dyDescent="0.25">
      <c r="A62" t="s">
        <v>482</v>
      </c>
      <c r="B62" t="s">
        <v>477</v>
      </c>
      <c r="C62" t="s">
        <v>111</v>
      </c>
      <c r="D62" t="s">
        <v>331</v>
      </c>
      <c r="E62">
        <v>55.176000000000002</v>
      </c>
      <c r="F62">
        <v>3</v>
      </c>
      <c r="G62">
        <v>15.863099999999999</v>
      </c>
    </row>
    <row r="63" spans="1:7" x14ac:dyDescent="0.25">
      <c r="A63" t="s">
        <v>483</v>
      </c>
      <c r="B63" t="s">
        <v>477</v>
      </c>
      <c r="C63" t="s">
        <v>114</v>
      </c>
      <c r="D63" t="s">
        <v>333</v>
      </c>
      <c r="E63">
        <v>26.335999999999999</v>
      </c>
      <c r="F63">
        <v>4</v>
      </c>
      <c r="G63">
        <v>9.2175999999999991</v>
      </c>
    </row>
    <row r="64" spans="1:7" x14ac:dyDescent="0.25">
      <c r="A64" t="s">
        <v>484</v>
      </c>
      <c r="B64" t="s">
        <v>485</v>
      </c>
      <c r="C64" t="s">
        <v>116</v>
      </c>
      <c r="D64" t="s">
        <v>335</v>
      </c>
      <c r="E64">
        <v>59.99</v>
      </c>
      <c r="F64">
        <v>7</v>
      </c>
      <c r="G64">
        <v>21.596399999999999</v>
      </c>
    </row>
    <row r="65" spans="1:7" x14ac:dyDescent="0.25">
      <c r="A65" t="s">
        <v>486</v>
      </c>
      <c r="B65" t="s">
        <v>485</v>
      </c>
      <c r="C65" t="s">
        <v>118</v>
      </c>
      <c r="D65" t="s">
        <v>338</v>
      </c>
      <c r="E65">
        <v>99.98</v>
      </c>
      <c r="F65">
        <v>2</v>
      </c>
      <c r="G65">
        <v>42.991399999999999</v>
      </c>
    </row>
    <row r="66" spans="1:7" x14ac:dyDescent="0.25">
      <c r="A66" t="s">
        <v>486</v>
      </c>
      <c r="B66" t="s">
        <v>485</v>
      </c>
      <c r="C66" t="s">
        <v>118</v>
      </c>
      <c r="D66" t="s">
        <v>340</v>
      </c>
      <c r="E66">
        <v>8.0399999999999991</v>
      </c>
      <c r="F66">
        <v>6</v>
      </c>
      <c r="G66">
        <v>2.7336</v>
      </c>
    </row>
    <row r="67" spans="1:7" x14ac:dyDescent="0.25">
      <c r="A67" t="s">
        <v>486</v>
      </c>
      <c r="B67" t="s">
        <v>485</v>
      </c>
      <c r="C67" t="s">
        <v>118</v>
      </c>
      <c r="D67" t="s">
        <v>342</v>
      </c>
      <c r="E67">
        <v>1564.29</v>
      </c>
      <c r="F67">
        <v>13</v>
      </c>
      <c r="G67">
        <v>406.71539999999999</v>
      </c>
    </row>
    <row r="68" spans="1:7" x14ac:dyDescent="0.25">
      <c r="A68" t="s">
        <v>487</v>
      </c>
      <c r="B68" t="s">
        <v>488</v>
      </c>
      <c r="C68" t="s">
        <v>122</v>
      </c>
      <c r="D68" t="s">
        <v>344</v>
      </c>
      <c r="E68">
        <v>31.36</v>
      </c>
      <c r="F68">
        <v>4</v>
      </c>
      <c r="G68">
        <v>15.68</v>
      </c>
    </row>
    <row r="69" spans="1:7" x14ac:dyDescent="0.25">
      <c r="A69" t="s">
        <v>489</v>
      </c>
      <c r="B69" t="s">
        <v>490</v>
      </c>
      <c r="C69" t="s">
        <v>126</v>
      </c>
      <c r="D69" t="s">
        <v>347</v>
      </c>
      <c r="E69">
        <v>9.2100000000000009</v>
      </c>
      <c r="F69">
        <v>3</v>
      </c>
      <c r="G69">
        <v>2.3025000000000002</v>
      </c>
    </row>
    <row r="70" spans="1:7" x14ac:dyDescent="0.25">
      <c r="A70" t="s">
        <v>489</v>
      </c>
      <c r="B70" t="s">
        <v>490</v>
      </c>
      <c r="C70" t="s">
        <v>126</v>
      </c>
      <c r="D70" t="s">
        <v>350</v>
      </c>
      <c r="E70">
        <v>18</v>
      </c>
      <c r="F70">
        <v>5</v>
      </c>
      <c r="G70">
        <v>8.2799999999999994</v>
      </c>
    </row>
    <row r="71" spans="1:7" x14ac:dyDescent="0.25">
      <c r="A71" t="s">
        <v>491</v>
      </c>
      <c r="B71" t="s">
        <v>490</v>
      </c>
      <c r="C71" t="s">
        <v>129</v>
      </c>
      <c r="D71" t="s">
        <v>352</v>
      </c>
      <c r="E71">
        <v>43.12</v>
      </c>
      <c r="F71">
        <v>5</v>
      </c>
      <c r="G71">
        <v>15.092000000000001</v>
      </c>
    </row>
    <row r="72" spans="1:7" x14ac:dyDescent="0.25">
      <c r="A72" t="s">
        <v>491</v>
      </c>
      <c r="B72" t="s">
        <v>490</v>
      </c>
      <c r="C72" t="s">
        <v>129</v>
      </c>
      <c r="D72" t="s">
        <v>354</v>
      </c>
      <c r="E72">
        <v>313.72199999999998</v>
      </c>
      <c r="F72">
        <v>3</v>
      </c>
      <c r="G72">
        <v>-99.345299999999995</v>
      </c>
    </row>
    <row r="73" spans="1:7" x14ac:dyDescent="0.25">
      <c r="A73" t="s">
        <v>491</v>
      </c>
      <c r="B73" t="s">
        <v>490</v>
      </c>
      <c r="C73" t="s">
        <v>129</v>
      </c>
      <c r="D73" t="s">
        <v>356</v>
      </c>
      <c r="E73">
        <v>45.98</v>
      </c>
      <c r="F73">
        <v>1</v>
      </c>
      <c r="G73">
        <v>7.8166000000000002</v>
      </c>
    </row>
    <row r="74" spans="1:7" x14ac:dyDescent="0.25">
      <c r="A74" t="s">
        <v>491</v>
      </c>
      <c r="B74" t="s">
        <v>490</v>
      </c>
      <c r="C74" t="s">
        <v>129</v>
      </c>
      <c r="D74" t="s">
        <v>358</v>
      </c>
      <c r="E74">
        <v>428.68</v>
      </c>
      <c r="F74">
        <v>7</v>
      </c>
      <c r="G74">
        <v>0</v>
      </c>
    </row>
    <row r="75" spans="1:7" x14ac:dyDescent="0.25">
      <c r="A75" t="s">
        <v>492</v>
      </c>
      <c r="B75" t="s">
        <v>493</v>
      </c>
      <c r="C75" t="s">
        <v>122</v>
      </c>
      <c r="D75" t="s">
        <v>360</v>
      </c>
      <c r="E75">
        <v>39.68</v>
      </c>
      <c r="F75">
        <v>2</v>
      </c>
      <c r="G75">
        <v>10.316800000000001</v>
      </c>
    </row>
    <row r="76" spans="1:7" x14ac:dyDescent="0.25">
      <c r="A76" t="s">
        <v>494</v>
      </c>
      <c r="B76" t="s">
        <v>495</v>
      </c>
      <c r="C76" t="s">
        <v>131</v>
      </c>
      <c r="D76" t="s">
        <v>362</v>
      </c>
      <c r="E76">
        <v>17.456</v>
      </c>
      <c r="F76">
        <v>2</v>
      </c>
      <c r="G76">
        <v>5.8914</v>
      </c>
    </row>
    <row r="77" spans="1:7" x14ac:dyDescent="0.25">
      <c r="A77" t="s">
        <v>496</v>
      </c>
      <c r="B77" t="s">
        <v>495</v>
      </c>
      <c r="C77" t="s">
        <v>134</v>
      </c>
      <c r="D77" t="s">
        <v>364</v>
      </c>
      <c r="E77">
        <v>305.01</v>
      </c>
      <c r="F77">
        <v>9</v>
      </c>
      <c r="G77">
        <v>76.252499999999998</v>
      </c>
    </row>
    <row r="78" spans="1:7" x14ac:dyDescent="0.25">
      <c r="A78" t="s">
        <v>496</v>
      </c>
      <c r="B78" t="s">
        <v>495</v>
      </c>
      <c r="C78" t="s">
        <v>134</v>
      </c>
      <c r="D78" t="s">
        <v>366</v>
      </c>
      <c r="E78">
        <v>50.783999999999999</v>
      </c>
      <c r="F78">
        <v>2</v>
      </c>
      <c r="G78">
        <v>17.7744</v>
      </c>
    </row>
    <row r="79" spans="1:7" x14ac:dyDescent="0.25">
      <c r="A79" t="s">
        <v>496</v>
      </c>
      <c r="B79" t="s">
        <v>495</v>
      </c>
      <c r="C79" t="s">
        <v>134</v>
      </c>
      <c r="D79" t="s">
        <v>368</v>
      </c>
      <c r="E79">
        <v>26.01</v>
      </c>
      <c r="F79">
        <v>9</v>
      </c>
      <c r="G79">
        <v>12.2247</v>
      </c>
    </row>
    <row r="80" spans="1:7" x14ac:dyDescent="0.25">
      <c r="A80" t="s">
        <v>497</v>
      </c>
      <c r="B80" t="s">
        <v>495</v>
      </c>
      <c r="C80" t="s">
        <v>136</v>
      </c>
      <c r="D80" t="s">
        <v>370</v>
      </c>
      <c r="E80">
        <v>435.16800000000001</v>
      </c>
      <c r="F80">
        <v>4</v>
      </c>
      <c r="G80">
        <v>-59.835599999999999</v>
      </c>
    </row>
    <row r="81" spans="1:7" x14ac:dyDescent="0.25">
      <c r="A81" t="s">
        <v>497</v>
      </c>
      <c r="B81" t="s">
        <v>495</v>
      </c>
      <c r="C81" t="s">
        <v>136</v>
      </c>
      <c r="D81" t="s">
        <v>373</v>
      </c>
      <c r="E81">
        <v>48.58</v>
      </c>
      <c r="F81">
        <v>1</v>
      </c>
      <c r="G81">
        <v>7.7728000000000002</v>
      </c>
    </row>
    <row r="82" spans="1:7" x14ac:dyDescent="0.25">
      <c r="A82" t="s">
        <v>498</v>
      </c>
      <c r="B82" t="s">
        <v>495</v>
      </c>
      <c r="C82" t="s">
        <v>138</v>
      </c>
      <c r="D82" t="s">
        <v>375</v>
      </c>
      <c r="E82">
        <v>156.512</v>
      </c>
      <c r="F82">
        <v>4</v>
      </c>
      <c r="G82">
        <v>52.822800000000001</v>
      </c>
    </row>
    <row r="83" spans="1:7" x14ac:dyDescent="0.25">
      <c r="A83" t="s">
        <v>499</v>
      </c>
      <c r="B83" t="s">
        <v>495</v>
      </c>
      <c r="C83" t="s">
        <v>142</v>
      </c>
      <c r="D83" t="s">
        <v>377</v>
      </c>
      <c r="E83">
        <v>1439.9680000000001</v>
      </c>
      <c r="F83">
        <v>4</v>
      </c>
      <c r="G83">
        <v>143.99680000000001</v>
      </c>
    </row>
    <row r="84" spans="1:7" x14ac:dyDescent="0.25">
      <c r="A84" t="s">
        <v>499</v>
      </c>
      <c r="B84" t="s">
        <v>495</v>
      </c>
      <c r="C84" t="s">
        <v>142</v>
      </c>
      <c r="D84" t="s">
        <v>379</v>
      </c>
      <c r="E84">
        <v>1.728</v>
      </c>
      <c r="F84">
        <v>3</v>
      </c>
      <c r="G84">
        <v>-2.6783999999999999</v>
      </c>
    </row>
    <row r="85" spans="1:7" x14ac:dyDescent="0.25">
      <c r="A85" t="s">
        <v>499</v>
      </c>
      <c r="B85" t="s">
        <v>495</v>
      </c>
      <c r="C85" t="s">
        <v>142</v>
      </c>
      <c r="D85" t="s">
        <v>381</v>
      </c>
      <c r="E85">
        <v>626.1</v>
      </c>
      <c r="F85">
        <v>3</v>
      </c>
      <c r="G85">
        <v>-538.44600000000003</v>
      </c>
    </row>
    <row r="86" spans="1:7" x14ac:dyDescent="0.25">
      <c r="A86" t="s">
        <v>500</v>
      </c>
      <c r="B86" t="s">
        <v>501</v>
      </c>
      <c r="C86" t="s">
        <v>145</v>
      </c>
      <c r="D86" t="s">
        <v>384</v>
      </c>
      <c r="E86">
        <v>109.592</v>
      </c>
      <c r="F86">
        <v>1</v>
      </c>
      <c r="G86">
        <v>8.2194000000000003</v>
      </c>
    </row>
    <row r="87" spans="1:7" x14ac:dyDescent="0.25">
      <c r="A87" t="s">
        <v>500</v>
      </c>
      <c r="B87" t="s">
        <v>501</v>
      </c>
      <c r="C87" t="s">
        <v>145</v>
      </c>
      <c r="D87" t="s">
        <v>386</v>
      </c>
      <c r="E87">
        <v>56.7</v>
      </c>
      <c r="F87">
        <v>5</v>
      </c>
      <c r="G87">
        <v>27.783000000000001</v>
      </c>
    </row>
    <row r="88" spans="1:7" x14ac:dyDescent="0.25">
      <c r="A88" t="s">
        <v>502</v>
      </c>
      <c r="B88" t="s">
        <v>501</v>
      </c>
      <c r="C88" t="s">
        <v>147</v>
      </c>
      <c r="D88" t="s">
        <v>388</v>
      </c>
      <c r="E88">
        <v>15.552</v>
      </c>
      <c r="F88">
        <v>3</v>
      </c>
      <c r="G88">
        <v>5.4432</v>
      </c>
    </row>
    <row r="89" spans="1:7" x14ac:dyDescent="0.25">
      <c r="A89" t="s">
        <v>503</v>
      </c>
      <c r="B89" t="s">
        <v>501</v>
      </c>
      <c r="C89" t="s">
        <v>150</v>
      </c>
      <c r="D89" t="s">
        <v>390</v>
      </c>
      <c r="E89">
        <v>23.36</v>
      </c>
      <c r="F89">
        <v>2</v>
      </c>
      <c r="G89">
        <v>11.68</v>
      </c>
    </row>
    <row r="90" spans="1:7" x14ac:dyDescent="0.25">
      <c r="A90" t="s">
        <v>504</v>
      </c>
      <c r="B90" t="s">
        <v>501</v>
      </c>
      <c r="C90" t="s">
        <v>153</v>
      </c>
      <c r="D90" t="s">
        <v>392</v>
      </c>
      <c r="E90">
        <v>1270.99</v>
      </c>
      <c r="F90">
        <v>1</v>
      </c>
      <c r="G90">
        <v>635.495</v>
      </c>
    </row>
    <row r="91" spans="1:7" x14ac:dyDescent="0.25">
      <c r="A91" t="s">
        <v>504</v>
      </c>
      <c r="B91" t="s">
        <v>501</v>
      </c>
      <c r="C91" t="s">
        <v>153</v>
      </c>
      <c r="D91" t="s">
        <v>394</v>
      </c>
      <c r="E91">
        <v>125.36</v>
      </c>
      <c r="F91">
        <v>8</v>
      </c>
      <c r="G91">
        <v>58.919199999999996</v>
      </c>
    </row>
    <row r="92" spans="1:7" x14ac:dyDescent="0.25">
      <c r="A92" t="s">
        <v>505</v>
      </c>
      <c r="B92" s="9">
        <v>43467</v>
      </c>
      <c r="C92" t="s">
        <v>156</v>
      </c>
      <c r="D92" t="s">
        <v>396</v>
      </c>
      <c r="E92">
        <v>56.45</v>
      </c>
      <c r="F92">
        <v>5</v>
      </c>
      <c r="G92">
        <v>14.677</v>
      </c>
    </row>
    <row r="93" spans="1:7" x14ac:dyDescent="0.25">
      <c r="A93" t="s">
        <v>506</v>
      </c>
      <c r="B93" s="9">
        <v>43467</v>
      </c>
      <c r="C93" t="s">
        <v>160</v>
      </c>
      <c r="D93" t="s">
        <v>399</v>
      </c>
      <c r="E93">
        <v>1105.52</v>
      </c>
      <c r="F93">
        <v>4</v>
      </c>
      <c r="G93">
        <v>48.539200000000001</v>
      </c>
    </row>
    <row r="94" spans="1:7" x14ac:dyDescent="0.25">
      <c r="A94" t="s">
        <v>507</v>
      </c>
      <c r="B94" s="9">
        <v>43498</v>
      </c>
      <c r="C94" t="s">
        <v>162</v>
      </c>
      <c r="D94" t="s">
        <v>401</v>
      </c>
      <c r="E94">
        <v>117.96</v>
      </c>
      <c r="F94">
        <v>2</v>
      </c>
      <c r="G94">
        <v>5.8979999999999997</v>
      </c>
    </row>
    <row r="95" spans="1:7" x14ac:dyDescent="0.25">
      <c r="A95" t="s">
        <v>508</v>
      </c>
      <c r="B95" s="9">
        <v>43498</v>
      </c>
      <c r="C95" t="s">
        <v>164</v>
      </c>
      <c r="D95" t="s">
        <v>403</v>
      </c>
      <c r="E95">
        <v>4749.95</v>
      </c>
      <c r="F95">
        <v>5</v>
      </c>
      <c r="G95">
        <v>2799.9839999999999</v>
      </c>
    </row>
    <row r="96" spans="1:7" x14ac:dyDescent="0.25">
      <c r="A96" t="s">
        <v>508</v>
      </c>
      <c r="B96" s="9">
        <v>43498</v>
      </c>
      <c r="C96" t="s">
        <v>164</v>
      </c>
      <c r="D96" t="s">
        <v>405</v>
      </c>
      <c r="E96">
        <v>36.4</v>
      </c>
      <c r="F96">
        <v>8</v>
      </c>
      <c r="G96">
        <v>18.2</v>
      </c>
    </row>
    <row r="97" spans="1:7" x14ac:dyDescent="0.25">
      <c r="A97" t="s">
        <v>508</v>
      </c>
      <c r="B97" s="9">
        <v>43498</v>
      </c>
      <c r="C97" t="s">
        <v>164</v>
      </c>
      <c r="D97" t="s">
        <v>407</v>
      </c>
      <c r="E97">
        <v>18.690000000000001</v>
      </c>
      <c r="F97">
        <v>7</v>
      </c>
      <c r="G97">
        <v>7.1021999999999998</v>
      </c>
    </row>
    <row r="98" spans="1:7" x14ac:dyDescent="0.25">
      <c r="A98" t="s">
        <v>509</v>
      </c>
      <c r="B98" s="9">
        <v>43498</v>
      </c>
      <c r="C98" t="s">
        <v>166</v>
      </c>
      <c r="D98" t="s">
        <v>409</v>
      </c>
      <c r="E98">
        <v>73.784000000000006</v>
      </c>
      <c r="F98">
        <v>2</v>
      </c>
      <c r="G98">
        <v>-77.473200000000006</v>
      </c>
    </row>
    <row r="99" spans="1:7" x14ac:dyDescent="0.25">
      <c r="A99" t="s">
        <v>510</v>
      </c>
      <c r="B99" s="9">
        <v>43526</v>
      </c>
      <c r="C99" t="s">
        <v>169</v>
      </c>
      <c r="D99" t="s">
        <v>412</v>
      </c>
      <c r="E99">
        <v>866.4</v>
      </c>
      <c r="F99">
        <v>4</v>
      </c>
      <c r="G99">
        <v>225.26400000000001</v>
      </c>
    </row>
    <row r="100" spans="1:7" x14ac:dyDescent="0.25">
      <c r="A100" t="s">
        <v>511</v>
      </c>
      <c r="B100" s="9">
        <v>43557</v>
      </c>
      <c r="C100" t="s">
        <v>173</v>
      </c>
      <c r="D100" t="s">
        <v>414</v>
      </c>
      <c r="E100">
        <v>14.368</v>
      </c>
      <c r="F100">
        <v>2</v>
      </c>
      <c r="G100">
        <v>3.9512</v>
      </c>
    </row>
  </sheetData>
  <mergeCells count="3">
    <mergeCell ref="K2:N4"/>
    <mergeCell ref="T2:X4"/>
    <mergeCell ref="S18:T20"/>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F6944-7AA7-46A1-A18E-59E61AA5C0E6}">
  <dimension ref="A1:AA100"/>
  <sheetViews>
    <sheetView topLeftCell="H1" zoomScale="51" workbookViewId="0">
      <selection activeCell="F31" sqref="F31"/>
    </sheetView>
  </sheetViews>
  <sheetFormatPr defaultRowHeight="15" x14ac:dyDescent="0.25"/>
  <cols>
    <col min="1" max="1" width="18.140625" customWidth="1"/>
    <col min="2" max="2" width="15.85546875" customWidth="1"/>
    <col min="3" max="3" width="15" customWidth="1"/>
    <col min="6" max="6" width="17.28515625" customWidth="1"/>
    <col min="7" max="7" width="15" customWidth="1"/>
    <col min="8" max="8" width="16.42578125" customWidth="1"/>
    <col min="11" max="11" width="14.28515625" customWidth="1"/>
    <col min="13" max="13" width="11.42578125" customWidth="1"/>
    <col min="14" max="14" width="12.42578125" customWidth="1"/>
    <col min="15" max="15" width="12.85546875" customWidth="1"/>
    <col min="26" max="26" width="19.7109375" bestFit="1" customWidth="1"/>
    <col min="27" max="27" width="29.28515625" bestFit="1" customWidth="1"/>
  </cols>
  <sheetData>
    <row r="1" spans="1:27" x14ac:dyDescent="0.25">
      <c r="A1" s="1" t="s">
        <v>416</v>
      </c>
      <c r="B1" t="s">
        <v>417</v>
      </c>
      <c r="C1" t="s">
        <v>418</v>
      </c>
      <c r="F1" s="4" t="s">
        <v>5</v>
      </c>
      <c r="G1" s="8"/>
      <c r="H1" s="8"/>
      <c r="K1" s="4" t="s">
        <v>6</v>
      </c>
      <c r="L1" s="8"/>
      <c r="M1" s="8"/>
      <c r="N1" s="8"/>
      <c r="Z1" s="24" t="s">
        <v>418</v>
      </c>
      <c r="AA1" t="s">
        <v>518</v>
      </c>
    </row>
    <row r="2" spans="1:27" x14ac:dyDescent="0.25">
      <c r="A2" s="1" t="s">
        <v>181</v>
      </c>
      <c r="B2">
        <v>72</v>
      </c>
      <c r="C2">
        <v>22</v>
      </c>
      <c r="F2" s="8"/>
      <c r="G2" s="8"/>
      <c r="H2" s="8"/>
      <c r="K2" s="8"/>
      <c r="L2" s="8"/>
      <c r="M2" s="8"/>
      <c r="N2" s="8"/>
    </row>
    <row r="3" spans="1:27" x14ac:dyDescent="0.25">
      <c r="A3" s="1" t="s">
        <v>181</v>
      </c>
      <c r="B3">
        <v>77</v>
      </c>
      <c r="C3">
        <v>45</v>
      </c>
      <c r="Z3" s="24" t="s">
        <v>519</v>
      </c>
      <c r="AA3" t="s">
        <v>524</v>
      </c>
    </row>
    <row r="4" spans="1:27" x14ac:dyDescent="0.25">
      <c r="A4" s="1" t="s">
        <v>186</v>
      </c>
      <c r="B4">
        <v>38</v>
      </c>
      <c r="C4">
        <v>30</v>
      </c>
      <c r="F4" s="1" t="s">
        <v>416</v>
      </c>
      <c r="G4" t="s">
        <v>417</v>
      </c>
      <c r="H4" t="s">
        <v>418</v>
      </c>
      <c r="K4" t="str" cm="1">
        <f t="array" ref="K4:V6">TRANSPOSE(F4:H15)</f>
        <v>ProductID</v>
      </c>
      <c r="L4" t="str">
        <v>FUR-BO-10004709</v>
      </c>
      <c r="M4" t="str">
        <v>FUR-BO-10004709</v>
      </c>
      <c r="N4" t="str">
        <v>TEC-PH-10000455</v>
      </c>
      <c r="O4" t="str">
        <v>OFF-ST-10003692</v>
      </c>
      <c r="P4" t="str">
        <v>TEC-AC-10002217</v>
      </c>
      <c r="Q4" t="str">
        <v>TEC-AC-10002942</v>
      </c>
      <c r="R4" t="str">
        <v>TEC-PH-10002890</v>
      </c>
      <c r="S4" t="str">
        <v>FUR-TA-10000617</v>
      </c>
      <c r="T4" t="str">
        <v>OFF-BI-10004364</v>
      </c>
      <c r="U4" t="str">
        <v>TEC-CO-10000971</v>
      </c>
      <c r="V4" t="str">
        <v>OFF-AR-10004078</v>
      </c>
      <c r="Z4" s="23" t="s">
        <v>234</v>
      </c>
      <c r="AA4" s="25">
        <v>93</v>
      </c>
    </row>
    <row r="5" spans="1:27" x14ac:dyDescent="0.25">
      <c r="A5" s="1" t="s">
        <v>190</v>
      </c>
      <c r="B5">
        <v>59</v>
      </c>
      <c r="C5">
        <v>12</v>
      </c>
      <c r="F5" s="1" t="s">
        <v>181</v>
      </c>
      <c r="G5">
        <v>72</v>
      </c>
      <c r="H5">
        <v>22</v>
      </c>
      <c r="K5" t="str">
        <v>Reorder_Level</v>
      </c>
      <c r="L5">
        <v>72</v>
      </c>
      <c r="M5">
        <v>77</v>
      </c>
      <c r="N5">
        <v>38</v>
      </c>
      <c r="O5">
        <v>59</v>
      </c>
      <c r="P5">
        <v>30</v>
      </c>
      <c r="Q5">
        <v>33</v>
      </c>
      <c r="R5">
        <v>52</v>
      </c>
      <c r="S5">
        <v>90</v>
      </c>
      <c r="T5">
        <v>84</v>
      </c>
      <c r="U5">
        <v>10</v>
      </c>
      <c r="V5">
        <v>81</v>
      </c>
      <c r="Z5" s="23" t="s">
        <v>181</v>
      </c>
      <c r="AA5" s="25">
        <v>149</v>
      </c>
    </row>
    <row r="6" spans="1:27" x14ac:dyDescent="0.25">
      <c r="A6" s="1" t="s">
        <v>195</v>
      </c>
      <c r="B6">
        <v>30</v>
      </c>
      <c r="C6">
        <v>37</v>
      </c>
      <c r="F6" s="1" t="s">
        <v>181</v>
      </c>
      <c r="G6">
        <v>77</v>
      </c>
      <c r="H6">
        <v>45</v>
      </c>
      <c r="K6" t="str">
        <v>Current_stock</v>
      </c>
      <c r="L6">
        <v>22</v>
      </c>
      <c r="M6">
        <v>45</v>
      </c>
      <c r="N6">
        <v>30</v>
      </c>
      <c r="O6">
        <v>12</v>
      </c>
      <c r="P6">
        <v>37</v>
      </c>
      <c r="Q6">
        <v>55</v>
      </c>
      <c r="R6">
        <v>96</v>
      </c>
      <c r="S6">
        <v>44</v>
      </c>
      <c r="T6">
        <v>91</v>
      </c>
      <c r="U6">
        <v>43</v>
      </c>
      <c r="V6">
        <v>62</v>
      </c>
      <c r="Z6" s="23" t="s">
        <v>257</v>
      </c>
      <c r="AA6" s="25">
        <v>9</v>
      </c>
    </row>
    <row r="7" spans="1:27" x14ac:dyDescent="0.25">
      <c r="A7" s="1" t="s">
        <v>198</v>
      </c>
      <c r="B7">
        <v>33</v>
      </c>
      <c r="C7">
        <v>55</v>
      </c>
      <c r="F7" s="1" t="s">
        <v>186</v>
      </c>
      <c r="G7">
        <v>38</v>
      </c>
      <c r="H7">
        <v>30</v>
      </c>
      <c r="Z7" s="23" t="s">
        <v>252</v>
      </c>
      <c r="AA7" s="25">
        <v>88</v>
      </c>
    </row>
    <row r="8" spans="1:27" x14ac:dyDescent="0.25">
      <c r="A8" s="1" t="s">
        <v>201</v>
      </c>
      <c r="B8">
        <v>52</v>
      </c>
      <c r="C8">
        <v>96</v>
      </c>
      <c r="F8" s="1" t="s">
        <v>190</v>
      </c>
      <c r="G8">
        <v>59</v>
      </c>
      <c r="H8">
        <v>12</v>
      </c>
      <c r="M8" t="s">
        <v>419</v>
      </c>
      <c r="Z8" s="23" t="s">
        <v>249</v>
      </c>
      <c r="AA8" s="25">
        <v>43</v>
      </c>
    </row>
    <row r="9" spans="1:27" x14ac:dyDescent="0.25">
      <c r="A9" s="1" t="s">
        <v>204</v>
      </c>
      <c r="B9">
        <v>90</v>
      </c>
      <c r="C9">
        <v>44</v>
      </c>
      <c r="F9" s="1" t="s">
        <v>195</v>
      </c>
      <c r="G9">
        <v>30</v>
      </c>
      <c r="H9">
        <v>37</v>
      </c>
      <c r="M9">
        <f>HLOOKUP(M5,K5:V6,2,1)</f>
        <v>96</v>
      </c>
      <c r="Z9" s="23" t="s">
        <v>229</v>
      </c>
      <c r="AA9" s="25">
        <v>93</v>
      </c>
    </row>
    <row r="10" spans="1:27" x14ac:dyDescent="0.25">
      <c r="A10" s="1" t="s">
        <v>206</v>
      </c>
      <c r="B10">
        <v>84</v>
      </c>
      <c r="C10">
        <v>91</v>
      </c>
      <c r="F10" s="1" t="s">
        <v>198</v>
      </c>
      <c r="G10">
        <v>33</v>
      </c>
      <c r="H10">
        <v>55</v>
      </c>
      <c r="Z10" s="23" t="s">
        <v>204</v>
      </c>
      <c r="AA10" s="25">
        <v>90</v>
      </c>
    </row>
    <row r="11" spans="1:27" x14ac:dyDescent="0.25">
      <c r="A11" s="1" t="s">
        <v>209</v>
      </c>
      <c r="B11">
        <v>10</v>
      </c>
      <c r="C11">
        <v>43</v>
      </c>
      <c r="F11" s="1" t="s">
        <v>201</v>
      </c>
      <c r="G11">
        <v>52</v>
      </c>
      <c r="H11">
        <v>96</v>
      </c>
      <c r="M11" t="s">
        <v>420</v>
      </c>
      <c r="Z11" s="23" t="s">
        <v>240</v>
      </c>
      <c r="AA11" s="25">
        <v>73</v>
      </c>
    </row>
    <row r="12" spans="1:27" x14ac:dyDescent="0.25">
      <c r="A12" s="1" t="s">
        <v>213</v>
      </c>
      <c r="B12">
        <v>81</v>
      </c>
      <c r="C12">
        <v>62</v>
      </c>
      <c r="F12" s="1" t="s">
        <v>204</v>
      </c>
      <c r="G12">
        <v>90</v>
      </c>
      <c r="H12">
        <v>44</v>
      </c>
      <c r="M12">
        <f>HLOOKUP(M4,K4:W6,3,0)</f>
        <v>22</v>
      </c>
      <c r="Z12" s="23" t="s">
        <v>226</v>
      </c>
      <c r="AA12" s="25">
        <v>13</v>
      </c>
    </row>
    <row r="13" spans="1:27" x14ac:dyDescent="0.25">
      <c r="A13" s="1" t="s">
        <v>216</v>
      </c>
      <c r="B13">
        <v>98</v>
      </c>
      <c r="C13">
        <v>91</v>
      </c>
      <c r="F13" s="1" t="s">
        <v>206</v>
      </c>
      <c r="G13">
        <v>84</v>
      </c>
      <c r="H13">
        <v>91</v>
      </c>
      <c r="Z13" s="23" t="s">
        <v>221</v>
      </c>
      <c r="AA13" s="25">
        <v>50</v>
      </c>
    </row>
    <row r="14" spans="1:27" x14ac:dyDescent="0.25">
      <c r="A14" s="1" t="s">
        <v>219</v>
      </c>
      <c r="B14">
        <v>79</v>
      </c>
      <c r="C14">
        <v>26</v>
      </c>
      <c r="F14" s="1" t="s">
        <v>209</v>
      </c>
      <c r="G14">
        <v>10</v>
      </c>
      <c r="H14">
        <v>43</v>
      </c>
      <c r="Z14" s="23" t="s">
        <v>213</v>
      </c>
      <c r="AA14" s="25">
        <v>81</v>
      </c>
    </row>
    <row r="15" spans="1:27" x14ac:dyDescent="0.25">
      <c r="A15" s="1" t="s">
        <v>221</v>
      </c>
      <c r="B15">
        <v>50</v>
      </c>
      <c r="C15">
        <v>95</v>
      </c>
      <c r="F15" s="1" t="s">
        <v>213</v>
      </c>
      <c r="G15">
        <v>81</v>
      </c>
      <c r="H15">
        <v>62</v>
      </c>
      <c r="Z15" s="23" t="s">
        <v>236</v>
      </c>
      <c r="AA15" s="25">
        <v>61</v>
      </c>
    </row>
    <row r="16" spans="1:27" ht="15" customHeight="1" x14ac:dyDescent="0.25">
      <c r="A16" s="1" t="s">
        <v>224</v>
      </c>
      <c r="B16">
        <v>26</v>
      </c>
      <c r="C16">
        <v>54</v>
      </c>
      <c r="F16" s="1" t="s">
        <v>216</v>
      </c>
      <c r="G16">
        <v>98</v>
      </c>
      <c r="H16">
        <v>91</v>
      </c>
      <c r="M16" s="4" t="s">
        <v>421</v>
      </c>
      <c r="N16" s="4"/>
      <c r="O16" s="4"/>
      <c r="P16" s="4"/>
      <c r="Z16" s="23" t="s">
        <v>216</v>
      </c>
      <c r="AA16" s="25">
        <v>98</v>
      </c>
    </row>
    <row r="17" spans="1:27" ht="15" customHeight="1" x14ac:dyDescent="0.25">
      <c r="A17" s="1" t="s">
        <v>226</v>
      </c>
      <c r="B17">
        <v>13</v>
      </c>
      <c r="C17">
        <v>94</v>
      </c>
      <c r="F17" s="1" t="s">
        <v>219</v>
      </c>
      <c r="G17">
        <v>79</v>
      </c>
      <c r="H17">
        <v>26</v>
      </c>
      <c r="M17" s="4"/>
      <c r="N17" s="4"/>
      <c r="O17" s="4"/>
      <c r="P17" s="4"/>
      <c r="Z17" s="23" t="s">
        <v>238</v>
      </c>
      <c r="AA17" s="25">
        <v>70</v>
      </c>
    </row>
    <row r="18" spans="1:27" x14ac:dyDescent="0.25">
      <c r="A18" s="1" t="s">
        <v>229</v>
      </c>
      <c r="B18">
        <v>93</v>
      </c>
      <c r="C18">
        <v>27</v>
      </c>
      <c r="F18" s="1" t="s">
        <v>221</v>
      </c>
      <c r="G18">
        <v>50</v>
      </c>
      <c r="H18">
        <v>95</v>
      </c>
      <c r="Z18" s="23" t="s">
        <v>206</v>
      </c>
      <c r="AA18" s="25">
        <v>84</v>
      </c>
    </row>
    <row r="19" spans="1:27" x14ac:dyDescent="0.25">
      <c r="A19" s="1" t="s">
        <v>231</v>
      </c>
      <c r="B19">
        <v>49</v>
      </c>
      <c r="C19">
        <v>49</v>
      </c>
      <c r="F19" s="1" t="s">
        <v>224</v>
      </c>
      <c r="G19">
        <v>26</v>
      </c>
      <c r="H19">
        <v>54</v>
      </c>
      <c r="M19" s="1" t="s">
        <v>416</v>
      </c>
      <c r="N19" t="s">
        <v>417</v>
      </c>
      <c r="O19" t="s">
        <v>418</v>
      </c>
      <c r="Z19" s="23" t="s">
        <v>261</v>
      </c>
      <c r="AA19" s="25">
        <v>20</v>
      </c>
    </row>
    <row r="20" spans="1:27" x14ac:dyDescent="0.25">
      <c r="A20" s="1" t="s">
        <v>234</v>
      </c>
      <c r="B20">
        <v>93</v>
      </c>
      <c r="C20">
        <v>55</v>
      </c>
      <c r="F20" s="1" t="s">
        <v>226</v>
      </c>
      <c r="G20">
        <v>13</v>
      </c>
      <c r="H20">
        <v>94</v>
      </c>
      <c r="M20" s="1" t="s">
        <v>181</v>
      </c>
      <c r="N20">
        <v>72</v>
      </c>
      <c r="O20">
        <v>22</v>
      </c>
      <c r="Z20" s="23" t="s">
        <v>263</v>
      </c>
      <c r="AA20" s="25">
        <v>36</v>
      </c>
    </row>
    <row r="21" spans="1:27" x14ac:dyDescent="0.25">
      <c r="A21" s="1" t="s">
        <v>236</v>
      </c>
      <c r="B21">
        <v>61</v>
      </c>
      <c r="C21">
        <v>65</v>
      </c>
      <c r="F21" s="1" t="s">
        <v>229</v>
      </c>
      <c r="G21">
        <v>93</v>
      </c>
      <c r="H21">
        <v>27</v>
      </c>
      <c r="M21" s="1" t="s">
        <v>181</v>
      </c>
      <c r="N21">
        <v>77</v>
      </c>
      <c r="O21">
        <v>45</v>
      </c>
      <c r="Z21" s="23" t="s">
        <v>231</v>
      </c>
      <c r="AA21" s="25">
        <v>49</v>
      </c>
    </row>
    <row r="22" spans="1:27" x14ac:dyDescent="0.25">
      <c r="A22" s="1" t="s">
        <v>238</v>
      </c>
      <c r="B22">
        <v>70</v>
      </c>
      <c r="C22">
        <v>72</v>
      </c>
      <c r="F22" s="1" t="s">
        <v>231</v>
      </c>
      <c r="G22">
        <v>49</v>
      </c>
      <c r="H22">
        <v>49</v>
      </c>
      <c r="M22" s="1" t="s">
        <v>186</v>
      </c>
      <c r="N22">
        <v>38</v>
      </c>
      <c r="O22">
        <v>30</v>
      </c>
      <c r="Q22" t="s">
        <v>422</v>
      </c>
      <c r="R22">
        <f>SUM(O20:O32)</f>
        <v>654</v>
      </c>
      <c r="Z22" s="23" t="s">
        <v>190</v>
      </c>
      <c r="AA22" s="25">
        <v>59</v>
      </c>
    </row>
    <row r="23" spans="1:27" x14ac:dyDescent="0.25">
      <c r="A23" s="1" t="s">
        <v>240</v>
      </c>
      <c r="B23">
        <v>73</v>
      </c>
      <c r="C23">
        <v>49</v>
      </c>
      <c r="F23" s="1" t="s">
        <v>234</v>
      </c>
      <c r="G23">
        <v>93</v>
      </c>
      <c r="H23">
        <v>55</v>
      </c>
      <c r="M23" s="1" t="s">
        <v>190</v>
      </c>
      <c r="N23">
        <v>59</v>
      </c>
      <c r="O23">
        <v>12</v>
      </c>
      <c r="Q23" t="s">
        <v>423</v>
      </c>
      <c r="R23">
        <f>SUMIF(N20:N32,N25,O20:O32)</f>
        <v>55</v>
      </c>
      <c r="Z23" s="23" t="s">
        <v>245</v>
      </c>
      <c r="AA23" s="25">
        <v>46</v>
      </c>
    </row>
    <row r="24" spans="1:27" x14ac:dyDescent="0.25">
      <c r="A24" s="1" t="s">
        <v>243</v>
      </c>
      <c r="B24">
        <v>99</v>
      </c>
      <c r="C24">
        <v>81</v>
      </c>
      <c r="F24" s="1" t="s">
        <v>236</v>
      </c>
      <c r="G24">
        <v>61</v>
      </c>
      <c r="H24">
        <v>65</v>
      </c>
      <c r="M24" s="1" t="s">
        <v>195</v>
      </c>
      <c r="N24">
        <v>30</v>
      </c>
      <c r="O24">
        <v>37</v>
      </c>
      <c r="Q24" t="s">
        <v>424</v>
      </c>
      <c r="R24">
        <f>SUMIFS(O20:O32,N20:N32,N26,M20:M32,M26)</f>
        <v>96</v>
      </c>
      <c r="Z24" s="23" t="s">
        <v>219</v>
      </c>
      <c r="AA24" s="25">
        <v>79</v>
      </c>
    </row>
    <row r="25" spans="1:27" x14ac:dyDescent="0.25">
      <c r="A25" s="1" t="s">
        <v>245</v>
      </c>
      <c r="B25">
        <v>46</v>
      </c>
      <c r="C25">
        <v>88</v>
      </c>
      <c r="M25" s="1" t="s">
        <v>198</v>
      </c>
      <c r="N25">
        <v>33</v>
      </c>
      <c r="O25">
        <v>55</v>
      </c>
      <c r="Q25" t="s">
        <v>425</v>
      </c>
      <c r="R25">
        <f>AVERAGE(O20:O32)</f>
        <v>50.307692307692307</v>
      </c>
      <c r="Z25" s="23" t="s">
        <v>195</v>
      </c>
      <c r="AA25" s="25">
        <v>30</v>
      </c>
    </row>
    <row r="26" spans="1:27" x14ac:dyDescent="0.25">
      <c r="A26" s="1" t="s">
        <v>247</v>
      </c>
      <c r="B26">
        <v>4</v>
      </c>
      <c r="C26">
        <v>63</v>
      </c>
      <c r="F26" s="1" t="s">
        <v>426</v>
      </c>
      <c r="M26" s="1" t="s">
        <v>201</v>
      </c>
      <c r="N26">
        <v>52</v>
      </c>
      <c r="O26">
        <v>96</v>
      </c>
      <c r="Q26" t="s">
        <v>427</v>
      </c>
      <c r="R26">
        <f>AVERAGEIF(N20:N32,N26,O20:O32)</f>
        <v>96</v>
      </c>
      <c r="Z26" s="23" t="s">
        <v>255</v>
      </c>
      <c r="AA26" s="25">
        <v>87</v>
      </c>
    </row>
    <row r="27" spans="1:27" x14ac:dyDescent="0.25">
      <c r="A27" s="1" t="s">
        <v>249</v>
      </c>
      <c r="B27">
        <v>43</v>
      </c>
      <c r="C27">
        <v>31</v>
      </c>
      <c r="F27">
        <f>VLOOKUP(G13,G5:H24,2,0)</f>
        <v>91</v>
      </c>
      <c r="M27" s="1" t="s">
        <v>204</v>
      </c>
      <c r="N27">
        <v>90</v>
      </c>
      <c r="O27">
        <v>44</v>
      </c>
      <c r="Q27" t="s">
        <v>428</v>
      </c>
      <c r="R27">
        <f>AVERAGEIFS(O20:O32,N20:N32,N26,M20:M32,M26)</f>
        <v>96</v>
      </c>
      <c r="Z27" s="23" t="s">
        <v>198</v>
      </c>
      <c r="AA27" s="25">
        <v>33</v>
      </c>
    </row>
    <row r="28" spans="1:27" x14ac:dyDescent="0.25">
      <c r="A28" s="1" t="s">
        <v>252</v>
      </c>
      <c r="B28">
        <v>88</v>
      </c>
      <c r="C28">
        <v>97</v>
      </c>
      <c r="M28" s="1" t="s">
        <v>206</v>
      </c>
      <c r="N28">
        <v>84</v>
      </c>
      <c r="O28">
        <v>91</v>
      </c>
      <c r="Z28" s="23" t="s">
        <v>209</v>
      </c>
      <c r="AA28" s="25">
        <v>10</v>
      </c>
    </row>
    <row r="29" spans="1:27" x14ac:dyDescent="0.25">
      <c r="A29" s="1" t="s">
        <v>255</v>
      </c>
      <c r="B29">
        <v>87</v>
      </c>
      <c r="C29">
        <v>72</v>
      </c>
      <c r="F29" t="s">
        <v>429</v>
      </c>
      <c r="M29" s="1" t="s">
        <v>209</v>
      </c>
      <c r="N29">
        <v>10</v>
      </c>
      <c r="O29">
        <v>43</v>
      </c>
      <c r="Z29" s="23" t="s">
        <v>186</v>
      </c>
      <c r="AA29" s="25">
        <v>38</v>
      </c>
    </row>
    <row r="30" spans="1:27" x14ac:dyDescent="0.25">
      <c r="A30" s="1" t="s">
        <v>257</v>
      </c>
      <c r="B30">
        <v>9</v>
      </c>
      <c r="C30">
        <v>16</v>
      </c>
      <c r="F30">
        <f>VLOOKUP(F6,F5:H24,2,1)</f>
        <v>77</v>
      </c>
      <c r="M30" s="1" t="s">
        <v>213</v>
      </c>
      <c r="N30">
        <v>81</v>
      </c>
      <c r="O30">
        <v>62</v>
      </c>
      <c r="Z30" s="23" t="s">
        <v>247</v>
      </c>
      <c r="AA30" s="25">
        <v>4</v>
      </c>
    </row>
    <row r="31" spans="1:27" x14ac:dyDescent="0.25">
      <c r="A31" s="1" t="s">
        <v>261</v>
      </c>
      <c r="B31">
        <v>20</v>
      </c>
      <c r="C31">
        <v>77</v>
      </c>
      <c r="M31" s="1" t="s">
        <v>216</v>
      </c>
      <c r="N31">
        <v>98</v>
      </c>
      <c r="O31">
        <v>91</v>
      </c>
      <c r="Z31" s="23" t="s">
        <v>201</v>
      </c>
      <c r="AA31" s="25">
        <v>52</v>
      </c>
    </row>
    <row r="32" spans="1:27" x14ac:dyDescent="0.25">
      <c r="A32" s="1" t="s">
        <v>263</v>
      </c>
      <c r="B32">
        <v>36</v>
      </c>
      <c r="C32">
        <v>19</v>
      </c>
      <c r="M32" s="1" t="s">
        <v>219</v>
      </c>
      <c r="N32">
        <v>79</v>
      </c>
      <c r="O32">
        <v>26</v>
      </c>
      <c r="Z32" s="23" t="s">
        <v>224</v>
      </c>
      <c r="AA32" s="25">
        <v>26</v>
      </c>
    </row>
    <row r="33" spans="1:27" x14ac:dyDescent="0.25">
      <c r="A33" s="1" t="s">
        <v>265</v>
      </c>
      <c r="B33">
        <v>52</v>
      </c>
      <c r="C33">
        <v>18</v>
      </c>
      <c r="Z33" s="23" t="s">
        <v>243</v>
      </c>
      <c r="AA33" s="25">
        <v>99</v>
      </c>
    </row>
    <row r="34" spans="1:27" x14ac:dyDescent="0.25">
      <c r="A34" s="1" t="s">
        <v>268</v>
      </c>
      <c r="B34">
        <v>48</v>
      </c>
      <c r="C34">
        <v>47</v>
      </c>
      <c r="Z34" s="23" t="s">
        <v>521</v>
      </c>
      <c r="AA34" s="25">
        <v>1763</v>
      </c>
    </row>
    <row r="35" spans="1:27" x14ac:dyDescent="0.25">
      <c r="A35" s="1" t="s">
        <v>270</v>
      </c>
      <c r="B35">
        <v>45</v>
      </c>
      <c r="C35">
        <v>77</v>
      </c>
      <c r="E35">
        <f>SUM(C2:C100)</f>
        <v>5473</v>
      </c>
    </row>
    <row r="36" spans="1:27" x14ac:dyDescent="0.25">
      <c r="A36" s="1" t="s">
        <v>273</v>
      </c>
      <c r="B36">
        <v>28</v>
      </c>
      <c r="C36">
        <v>46</v>
      </c>
      <c r="E36">
        <f>SUM(B2:B100)</f>
        <v>5331</v>
      </c>
    </row>
    <row r="37" spans="1:27" x14ac:dyDescent="0.25">
      <c r="A37" s="1" t="s">
        <v>276</v>
      </c>
      <c r="B37">
        <v>22</v>
      </c>
      <c r="C37">
        <v>39</v>
      </c>
      <c r="E37">
        <f>AVERAGE(C2:C100)</f>
        <v>55.282828282828284</v>
      </c>
    </row>
    <row r="38" spans="1:27" x14ac:dyDescent="0.25">
      <c r="A38" s="1" t="s">
        <v>278</v>
      </c>
      <c r="B38">
        <v>69</v>
      </c>
      <c r="C38">
        <v>75</v>
      </c>
      <c r="E38">
        <f>AVERAGE(B2:B100)</f>
        <v>53.848484848484851</v>
      </c>
    </row>
    <row r="39" spans="1:27" x14ac:dyDescent="0.25">
      <c r="A39" s="1" t="s">
        <v>280</v>
      </c>
      <c r="B39">
        <v>48</v>
      </c>
      <c r="C39">
        <v>48</v>
      </c>
    </row>
    <row r="40" spans="1:27" x14ac:dyDescent="0.25">
      <c r="A40" s="1" t="s">
        <v>283</v>
      </c>
      <c r="B40">
        <v>90</v>
      </c>
      <c r="C40">
        <v>61</v>
      </c>
    </row>
    <row r="41" spans="1:27" x14ac:dyDescent="0.25">
      <c r="A41" s="1" t="s">
        <v>285</v>
      </c>
      <c r="B41">
        <v>90</v>
      </c>
      <c r="C41">
        <v>60</v>
      </c>
    </row>
    <row r="42" spans="1:27" x14ac:dyDescent="0.25">
      <c r="A42" s="1" t="s">
        <v>287</v>
      </c>
      <c r="B42">
        <v>55</v>
      </c>
      <c r="C42">
        <v>24</v>
      </c>
    </row>
    <row r="43" spans="1:27" x14ac:dyDescent="0.25">
      <c r="A43" s="1" t="s">
        <v>289</v>
      </c>
      <c r="B43">
        <v>7</v>
      </c>
      <c r="C43">
        <v>12</v>
      </c>
    </row>
    <row r="44" spans="1:27" x14ac:dyDescent="0.25">
      <c r="A44" s="1" t="s">
        <v>292</v>
      </c>
      <c r="B44">
        <v>13</v>
      </c>
      <c r="C44">
        <v>84</v>
      </c>
    </row>
    <row r="45" spans="1:27" x14ac:dyDescent="0.25">
      <c r="A45" s="1" t="s">
        <v>295</v>
      </c>
      <c r="B45">
        <v>100</v>
      </c>
      <c r="C45">
        <v>51</v>
      </c>
    </row>
    <row r="46" spans="1:27" x14ac:dyDescent="0.25">
      <c r="A46" s="1" t="s">
        <v>297</v>
      </c>
      <c r="B46">
        <v>36</v>
      </c>
      <c r="C46">
        <v>65</v>
      </c>
    </row>
    <row r="47" spans="1:27" x14ac:dyDescent="0.25">
      <c r="A47" s="1" t="s">
        <v>299</v>
      </c>
      <c r="B47">
        <v>88</v>
      </c>
      <c r="C47">
        <v>67</v>
      </c>
    </row>
    <row r="48" spans="1:27" x14ac:dyDescent="0.25">
      <c r="A48" s="1" t="s">
        <v>301</v>
      </c>
      <c r="B48">
        <v>74</v>
      </c>
      <c r="C48">
        <v>14</v>
      </c>
    </row>
    <row r="49" spans="1:3" x14ac:dyDescent="0.25">
      <c r="A49" s="1" t="s">
        <v>303</v>
      </c>
      <c r="B49">
        <v>24</v>
      </c>
      <c r="C49">
        <v>45</v>
      </c>
    </row>
    <row r="50" spans="1:3" x14ac:dyDescent="0.25">
      <c r="A50" s="1" t="s">
        <v>305</v>
      </c>
      <c r="B50">
        <v>46</v>
      </c>
      <c r="C50">
        <v>92</v>
      </c>
    </row>
    <row r="51" spans="1:3" x14ac:dyDescent="0.25">
      <c r="A51" s="1" t="s">
        <v>307</v>
      </c>
      <c r="B51">
        <v>84</v>
      </c>
      <c r="C51">
        <v>41</v>
      </c>
    </row>
    <row r="52" spans="1:3" x14ac:dyDescent="0.25">
      <c r="A52" s="1" t="s">
        <v>309</v>
      </c>
      <c r="B52">
        <v>36</v>
      </c>
      <c r="C52">
        <v>41</v>
      </c>
    </row>
    <row r="53" spans="1:3" x14ac:dyDescent="0.25">
      <c r="A53" s="1" t="s">
        <v>311</v>
      </c>
      <c r="B53">
        <v>45</v>
      </c>
      <c r="C53">
        <v>85</v>
      </c>
    </row>
    <row r="54" spans="1:3" x14ac:dyDescent="0.25">
      <c r="A54" s="1" t="s">
        <v>313</v>
      </c>
      <c r="B54">
        <v>80</v>
      </c>
      <c r="C54">
        <v>44</v>
      </c>
    </row>
    <row r="55" spans="1:3" x14ac:dyDescent="0.25">
      <c r="A55" s="1" t="s">
        <v>316</v>
      </c>
      <c r="B55">
        <v>87</v>
      </c>
      <c r="C55">
        <v>92</v>
      </c>
    </row>
    <row r="56" spans="1:3" x14ac:dyDescent="0.25">
      <c r="A56" s="1" t="s">
        <v>318</v>
      </c>
      <c r="B56">
        <v>89</v>
      </c>
      <c r="C56">
        <v>62</v>
      </c>
    </row>
    <row r="57" spans="1:3" x14ac:dyDescent="0.25">
      <c r="A57" s="1" t="s">
        <v>320</v>
      </c>
      <c r="B57">
        <v>18</v>
      </c>
      <c r="C57">
        <v>26</v>
      </c>
    </row>
    <row r="58" spans="1:3" x14ac:dyDescent="0.25">
      <c r="A58" s="1" t="s">
        <v>322</v>
      </c>
      <c r="B58">
        <v>78</v>
      </c>
      <c r="C58">
        <v>59</v>
      </c>
    </row>
    <row r="59" spans="1:3" x14ac:dyDescent="0.25">
      <c r="A59" s="1" t="s">
        <v>324</v>
      </c>
      <c r="B59">
        <v>37</v>
      </c>
      <c r="C59">
        <v>88</v>
      </c>
    </row>
    <row r="60" spans="1:3" x14ac:dyDescent="0.25">
      <c r="A60" s="1" t="s">
        <v>327</v>
      </c>
      <c r="B60">
        <v>59</v>
      </c>
      <c r="C60">
        <v>91</v>
      </c>
    </row>
    <row r="61" spans="1:3" x14ac:dyDescent="0.25">
      <c r="A61" s="1" t="s">
        <v>329</v>
      </c>
      <c r="B61">
        <v>17</v>
      </c>
      <c r="C61">
        <v>28</v>
      </c>
    </row>
    <row r="62" spans="1:3" x14ac:dyDescent="0.25">
      <c r="A62" s="1" t="s">
        <v>331</v>
      </c>
      <c r="B62">
        <v>60</v>
      </c>
      <c r="C62">
        <v>51</v>
      </c>
    </row>
    <row r="63" spans="1:3" x14ac:dyDescent="0.25">
      <c r="A63" s="1" t="s">
        <v>333</v>
      </c>
      <c r="B63">
        <v>27</v>
      </c>
      <c r="C63">
        <v>46</v>
      </c>
    </row>
    <row r="64" spans="1:3" x14ac:dyDescent="0.25">
      <c r="A64" s="1" t="s">
        <v>335</v>
      </c>
      <c r="B64">
        <v>65</v>
      </c>
      <c r="C64">
        <v>82</v>
      </c>
    </row>
    <row r="65" spans="1:3" x14ac:dyDescent="0.25">
      <c r="A65" s="1" t="s">
        <v>338</v>
      </c>
      <c r="B65">
        <v>92</v>
      </c>
      <c r="C65">
        <v>100</v>
      </c>
    </row>
    <row r="66" spans="1:3" x14ac:dyDescent="0.25">
      <c r="A66" s="1" t="s">
        <v>340</v>
      </c>
      <c r="B66">
        <v>53</v>
      </c>
      <c r="C66">
        <v>51</v>
      </c>
    </row>
    <row r="67" spans="1:3" x14ac:dyDescent="0.25">
      <c r="A67" s="1" t="s">
        <v>342</v>
      </c>
      <c r="B67">
        <v>43</v>
      </c>
      <c r="C67">
        <v>61</v>
      </c>
    </row>
    <row r="68" spans="1:3" x14ac:dyDescent="0.25">
      <c r="A68" s="1" t="s">
        <v>344</v>
      </c>
      <c r="B68">
        <v>87</v>
      </c>
      <c r="C68">
        <v>99</v>
      </c>
    </row>
    <row r="69" spans="1:3" x14ac:dyDescent="0.25">
      <c r="A69" s="1" t="s">
        <v>347</v>
      </c>
      <c r="B69">
        <v>60</v>
      </c>
      <c r="C69">
        <v>13</v>
      </c>
    </row>
    <row r="70" spans="1:3" x14ac:dyDescent="0.25">
      <c r="A70" s="1" t="s">
        <v>350</v>
      </c>
      <c r="B70">
        <v>63</v>
      </c>
      <c r="C70">
        <v>45</v>
      </c>
    </row>
    <row r="71" spans="1:3" x14ac:dyDescent="0.25">
      <c r="A71" s="1" t="s">
        <v>352</v>
      </c>
      <c r="B71">
        <v>87</v>
      </c>
      <c r="C71">
        <v>73</v>
      </c>
    </row>
    <row r="72" spans="1:3" x14ac:dyDescent="0.25">
      <c r="A72" s="1" t="s">
        <v>354</v>
      </c>
      <c r="B72">
        <v>21</v>
      </c>
      <c r="C72">
        <v>39</v>
      </c>
    </row>
    <row r="73" spans="1:3" x14ac:dyDescent="0.25">
      <c r="A73" s="1" t="s">
        <v>356</v>
      </c>
      <c r="B73">
        <v>72</v>
      </c>
      <c r="C73">
        <v>29</v>
      </c>
    </row>
    <row r="74" spans="1:3" x14ac:dyDescent="0.25">
      <c r="A74" s="1" t="s">
        <v>358</v>
      </c>
      <c r="B74">
        <v>60</v>
      </c>
      <c r="C74">
        <v>12</v>
      </c>
    </row>
    <row r="75" spans="1:3" x14ac:dyDescent="0.25">
      <c r="A75" s="1" t="s">
        <v>360</v>
      </c>
      <c r="B75">
        <v>33</v>
      </c>
      <c r="C75">
        <v>96</v>
      </c>
    </row>
    <row r="76" spans="1:3" x14ac:dyDescent="0.25">
      <c r="A76" s="1" t="s">
        <v>362</v>
      </c>
      <c r="B76">
        <v>92</v>
      </c>
      <c r="C76">
        <v>35</v>
      </c>
    </row>
    <row r="77" spans="1:3" x14ac:dyDescent="0.25">
      <c r="A77" s="1" t="s">
        <v>364</v>
      </c>
      <c r="B77">
        <v>34</v>
      </c>
      <c r="C77">
        <v>89</v>
      </c>
    </row>
    <row r="78" spans="1:3" x14ac:dyDescent="0.25">
      <c r="A78" s="1" t="s">
        <v>366</v>
      </c>
      <c r="B78">
        <v>36</v>
      </c>
      <c r="C78">
        <v>60</v>
      </c>
    </row>
    <row r="79" spans="1:3" x14ac:dyDescent="0.25">
      <c r="A79" s="1" t="s">
        <v>368</v>
      </c>
      <c r="B79">
        <v>34</v>
      </c>
      <c r="C79">
        <v>20</v>
      </c>
    </row>
    <row r="80" spans="1:3" x14ac:dyDescent="0.25">
      <c r="A80" s="1" t="s">
        <v>370</v>
      </c>
      <c r="B80">
        <v>40</v>
      </c>
      <c r="C80">
        <v>28</v>
      </c>
    </row>
    <row r="81" spans="1:3" x14ac:dyDescent="0.25">
      <c r="A81" s="1" t="s">
        <v>373</v>
      </c>
      <c r="B81">
        <v>55</v>
      </c>
      <c r="C81">
        <v>20</v>
      </c>
    </row>
    <row r="82" spans="1:3" x14ac:dyDescent="0.25">
      <c r="A82" s="1" t="s">
        <v>375</v>
      </c>
      <c r="B82">
        <v>93</v>
      </c>
      <c r="C82">
        <v>38</v>
      </c>
    </row>
    <row r="83" spans="1:3" x14ac:dyDescent="0.25">
      <c r="A83" s="1" t="s">
        <v>377</v>
      </c>
      <c r="B83">
        <v>1</v>
      </c>
      <c r="C83">
        <v>99</v>
      </c>
    </row>
    <row r="84" spans="1:3" x14ac:dyDescent="0.25">
      <c r="A84" s="1" t="s">
        <v>379</v>
      </c>
      <c r="B84">
        <v>52</v>
      </c>
      <c r="C84">
        <v>92</v>
      </c>
    </row>
    <row r="85" spans="1:3" x14ac:dyDescent="0.25">
      <c r="A85" s="1" t="s">
        <v>381</v>
      </c>
      <c r="B85">
        <v>29</v>
      </c>
      <c r="C85">
        <v>41</v>
      </c>
    </row>
    <row r="86" spans="1:3" x14ac:dyDescent="0.25">
      <c r="A86" s="1" t="s">
        <v>384</v>
      </c>
      <c r="B86">
        <v>67</v>
      </c>
      <c r="C86">
        <v>44</v>
      </c>
    </row>
    <row r="87" spans="1:3" x14ac:dyDescent="0.25">
      <c r="A87" s="1" t="s">
        <v>386</v>
      </c>
      <c r="B87">
        <v>7</v>
      </c>
      <c r="C87">
        <v>47</v>
      </c>
    </row>
    <row r="88" spans="1:3" x14ac:dyDescent="0.25">
      <c r="A88" s="1" t="s">
        <v>388</v>
      </c>
      <c r="B88">
        <v>63</v>
      </c>
      <c r="C88">
        <v>21</v>
      </c>
    </row>
    <row r="89" spans="1:3" x14ac:dyDescent="0.25">
      <c r="A89" s="1" t="s">
        <v>390</v>
      </c>
      <c r="B89">
        <v>33</v>
      </c>
      <c r="C89">
        <v>85</v>
      </c>
    </row>
    <row r="90" spans="1:3" x14ac:dyDescent="0.25">
      <c r="A90" s="1" t="s">
        <v>392</v>
      </c>
      <c r="B90">
        <v>4</v>
      </c>
      <c r="C90">
        <v>29</v>
      </c>
    </row>
    <row r="91" spans="1:3" x14ac:dyDescent="0.25">
      <c r="A91" s="1" t="s">
        <v>394</v>
      </c>
      <c r="B91">
        <v>21</v>
      </c>
      <c r="C91">
        <v>64</v>
      </c>
    </row>
    <row r="92" spans="1:3" x14ac:dyDescent="0.25">
      <c r="A92" s="1" t="s">
        <v>396</v>
      </c>
      <c r="B92">
        <v>40</v>
      </c>
      <c r="C92">
        <v>66</v>
      </c>
    </row>
    <row r="93" spans="1:3" x14ac:dyDescent="0.25">
      <c r="A93" s="1" t="s">
        <v>399</v>
      </c>
      <c r="B93">
        <v>81</v>
      </c>
      <c r="C93">
        <v>75</v>
      </c>
    </row>
    <row r="94" spans="1:3" x14ac:dyDescent="0.25">
      <c r="A94" s="1" t="s">
        <v>401</v>
      </c>
      <c r="B94">
        <v>63</v>
      </c>
      <c r="C94">
        <v>53</v>
      </c>
    </row>
    <row r="95" spans="1:3" x14ac:dyDescent="0.25">
      <c r="A95" s="1" t="s">
        <v>403</v>
      </c>
      <c r="B95">
        <v>63</v>
      </c>
      <c r="C95">
        <v>43</v>
      </c>
    </row>
    <row r="96" spans="1:3" x14ac:dyDescent="0.25">
      <c r="A96" s="1" t="s">
        <v>405</v>
      </c>
      <c r="B96">
        <v>30</v>
      </c>
      <c r="C96">
        <v>74</v>
      </c>
    </row>
    <row r="97" spans="1:3" x14ac:dyDescent="0.25">
      <c r="A97" s="1" t="s">
        <v>407</v>
      </c>
      <c r="B97">
        <v>22</v>
      </c>
      <c r="C97">
        <v>27</v>
      </c>
    </row>
    <row r="98" spans="1:3" x14ac:dyDescent="0.25">
      <c r="A98" s="1" t="s">
        <v>409</v>
      </c>
      <c r="B98">
        <v>73</v>
      </c>
      <c r="C98">
        <v>91</v>
      </c>
    </row>
    <row r="99" spans="1:3" x14ac:dyDescent="0.25">
      <c r="A99" s="1" t="s">
        <v>412</v>
      </c>
      <c r="B99">
        <v>81</v>
      </c>
      <c r="C99">
        <v>52</v>
      </c>
    </row>
    <row r="100" spans="1:3" x14ac:dyDescent="0.25">
      <c r="A100" s="1" t="s">
        <v>414</v>
      </c>
      <c r="B100">
        <v>66</v>
      </c>
      <c r="C100">
        <v>43</v>
      </c>
    </row>
  </sheetData>
  <mergeCells count="3">
    <mergeCell ref="F1:H2"/>
    <mergeCell ref="K1:N2"/>
    <mergeCell ref="M16:P1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F4A6C-7BA0-4938-B4DA-41B7998B3E79}">
  <dimension ref="A1:AD101"/>
  <sheetViews>
    <sheetView topLeftCell="A2" zoomScale="48" workbookViewId="0">
      <selection activeCell="J18" sqref="J18"/>
    </sheetView>
  </sheetViews>
  <sheetFormatPr defaultRowHeight="15" x14ac:dyDescent="0.25"/>
  <cols>
    <col min="1" max="1" width="12.140625" customWidth="1"/>
    <col min="2" max="2" width="12.5703125" customWidth="1"/>
    <col min="28" max="28" width="21" bestFit="1" customWidth="1"/>
    <col min="29" max="29" width="28.42578125" bestFit="1" customWidth="1"/>
    <col min="30" max="30" width="34.7109375" bestFit="1" customWidth="1"/>
  </cols>
  <sheetData>
    <row r="1" spans="1:30" ht="18.75" customHeight="1" x14ac:dyDescent="0.25">
      <c r="A1" s="17" t="s">
        <v>512</v>
      </c>
      <c r="B1" s="18" t="s">
        <v>513</v>
      </c>
      <c r="E1" s="19" t="s">
        <v>514</v>
      </c>
      <c r="F1" s="20"/>
      <c r="M1" s="19" t="s">
        <v>515</v>
      </c>
      <c r="N1" s="20"/>
      <c r="O1" s="20"/>
      <c r="AB1" s="24" t="s">
        <v>528</v>
      </c>
      <c r="AC1" t="s">
        <v>518</v>
      </c>
    </row>
    <row r="2" spans="1:30" x14ac:dyDescent="0.25">
      <c r="A2" s="21">
        <v>43101</v>
      </c>
      <c r="B2" s="22">
        <v>45000</v>
      </c>
      <c r="E2" s="20"/>
      <c r="F2" s="20"/>
      <c r="M2" s="20"/>
      <c r="N2" s="20"/>
      <c r="O2" s="20"/>
      <c r="AB2" s="24" t="s">
        <v>529</v>
      </c>
      <c r="AC2" t="s">
        <v>518</v>
      </c>
    </row>
    <row r="3" spans="1:30" x14ac:dyDescent="0.25">
      <c r="A3" s="21">
        <v>43132</v>
      </c>
      <c r="B3" s="22">
        <v>47000</v>
      </c>
    </row>
    <row r="4" spans="1:30" ht="30" x14ac:dyDescent="0.25">
      <c r="A4" s="21">
        <v>43160</v>
      </c>
      <c r="B4" s="22">
        <v>49000</v>
      </c>
      <c r="E4" s="17" t="s">
        <v>512</v>
      </c>
      <c r="F4" s="18" t="s">
        <v>513</v>
      </c>
      <c r="I4" t="str" cm="1">
        <f t="array" ref="I4:X5">TRANSPOSE(E4:F19)</f>
        <v>Month</v>
      </c>
      <c r="J4" s="21">
        <v>43101</v>
      </c>
      <c r="K4" s="21">
        <v>43132</v>
      </c>
      <c r="L4" s="21">
        <v>43160</v>
      </c>
      <c r="M4" s="21">
        <v>43191</v>
      </c>
      <c r="N4" s="21">
        <v>43221</v>
      </c>
      <c r="O4" s="21">
        <v>43252</v>
      </c>
      <c r="P4" s="21">
        <v>43282</v>
      </c>
      <c r="Q4" s="21">
        <v>43313</v>
      </c>
      <c r="R4" s="21">
        <v>43344</v>
      </c>
      <c r="S4" s="21">
        <v>43374</v>
      </c>
      <c r="T4" s="21">
        <v>43405</v>
      </c>
      <c r="U4" s="21">
        <v>43435</v>
      </c>
      <c r="V4" s="21">
        <v>43466</v>
      </c>
      <c r="W4" s="21">
        <v>43497</v>
      </c>
      <c r="X4" s="21">
        <v>43525</v>
      </c>
      <c r="AB4" s="24" t="s">
        <v>519</v>
      </c>
      <c r="AC4" t="s">
        <v>530</v>
      </c>
      <c r="AD4" t="s">
        <v>531</v>
      </c>
    </row>
    <row r="5" spans="1:30" x14ac:dyDescent="0.25">
      <c r="A5" s="21">
        <v>43191</v>
      </c>
      <c r="B5" s="22">
        <v>52000</v>
      </c>
      <c r="E5" s="21">
        <v>43101</v>
      </c>
      <c r="F5" s="22">
        <v>45000</v>
      </c>
      <c r="I5" t="str">
        <v>Target Sales</v>
      </c>
      <c r="J5">
        <v>45000</v>
      </c>
      <c r="K5">
        <v>47000</v>
      </c>
      <c r="L5">
        <v>49000</v>
      </c>
      <c r="M5">
        <v>52000</v>
      </c>
      <c r="N5">
        <v>54000</v>
      </c>
      <c r="O5">
        <v>56000</v>
      </c>
      <c r="P5">
        <v>58000</v>
      </c>
      <c r="Q5">
        <v>60000</v>
      </c>
      <c r="R5">
        <v>62000</v>
      </c>
      <c r="S5">
        <v>64000</v>
      </c>
      <c r="T5">
        <v>66000</v>
      </c>
      <c r="U5">
        <v>68000</v>
      </c>
      <c r="V5">
        <v>50000</v>
      </c>
      <c r="W5">
        <v>52000</v>
      </c>
      <c r="X5">
        <v>54000</v>
      </c>
      <c r="AB5" s="23" t="s">
        <v>532</v>
      </c>
      <c r="AC5" s="25">
        <v>275000</v>
      </c>
      <c r="AD5" s="25">
        <v>5</v>
      </c>
    </row>
    <row r="6" spans="1:30" x14ac:dyDescent="0.25">
      <c r="A6" s="21">
        <v>43221</v>
      </c>
      <c r="B6" s="22">
        <v>54000</v>
      </c>
      <c r="E6" s="21">
        <v>43132</v>
      </c>
      <c r="F6" s="22">
        <v>47000</v>
      </c>
      <c r="AB6" s="23" t="s">
        <v>533</v>
      </c>
      <c r="AC6" s="25">
        <v>285000</v>
      </c>
      <c r="AD6" s="25">
        <v>5</v>
      </c>
    </row>
    <row r="7" spans="1:30" x14ac:dyDescent="0.25">
      <c r="A7" s="21">
        <v>43252</v>
      </c>
      <c r="B7" s="22">
        <v>56000</v>
      </c>
      <c r="E7" s="21">
        <v>43160</v>
      </c>
      <c r="F7" s="22">
        <v>49000</v>
      </c>
      <c r="AB7" s="23" t="s">
        <v>534</v>
      </c>
      <c r="AC7" s="25">
        <v>295000</v>
      </c>
      <c r="AD7" s="25">
        <v>5</v>
      </c>
    </row>
    <row r="8" spans="1:30" x14ac:dyDescent="0.25">
      <c r="A8" s="21">
        <v>43282</v>
      </c>
      <c r="B8" s="22">
        <v>58000</v>
      </c>
      <c r="E8" s="21">
        <v>43191</v>
      </c>
      <c r="F8" s="22">
        <v>52000</v>
      </c>
      <c r="K8" t="s">
        <v>516</v>
      </c>
      <c r="AB8" s="23" t="s">
        <v>535</v>
      </c>
      <c r="AC8" s="25">
        <v>306000</v>
      </c>
      <c r="AD8" s="25">
        <v>5</v>
      </c>
    </row>
    <row r="9" spans="1:30" x14ac:dyDescent="0.25">
      <c r="A9" s="21">
        <v>43313</v>
      </c>
      <c r="B9" s="22">
        <v>60000</v>
      </c>
      <c r="E9" s="21">
        <v>43221</v>
      </c>
      <c r="F9" s="22">
        <v>54000</v>
      </c>
      <c r="K9">
        <f>HLOOKUP(L4,I4:W5,2,0)</f>
        <v>49000</v>
      </c>
      <c r="AB9" s="23" t="s">
        <v>536</v>
      </c>
      <c r="AC9" s="25">
        <v>243000</v>
      </c>
      <c r="AD9" s="25">
        <v>4</v>
      </c>
    </row>
    <row r="10" spans="1:30" x14ac:dyDescent="0.25">
      <c r="A10" s="21">
        <v>43344</v>
      </c>
      <c r="B10" s="22">
        <v>62000</v>
      </c>
      <c r="E10" s="21">
        <v>43252</v>
      </c>
      <c r="F10" s="22">
        <v>56000</v>
      </c>
      <c r="H10" t="s">
        <v>5</v>
      </c>
      <c r="AB10" s="23" t="s">
        <v>537</v>
      </c>
      <c r="AC10" s="25">
        <v>251000</v>
      </c>
      <c r="AD10" s="25">
        <v>4</v>
      </c>
    </row>
    <row r="11" spans="1:30" x14ac:dyDescent="0.25">
      <c r="A11" s="21">
        <v>43374</v>
      </c>
      <c r="B11" s="22">
        <v>64000</v>
      </c>
      <c r="E11" s="21">
        <v>43282</v>
      </c>
      <c r="F11" s="22">
        <v>58000</v>
      </c>
      <c r="H11">
        <f>VLOOKUP(E11,E4:F19,2,0)</f>
        <v>58000</v>
      </c>
      <c r="AB11" s="23" t="s">
        <v>538</v>
      </c>
      <c r="AC11" s="25">
        <v>259000</v>
      </c>
      <c r="AD11" s="25">
        <v>4</v>
      </c>
    </row>
    <row r="12" spans="1:30" x14ac:dyDescent="0.25">
      <c r="A12" s="21">
        <v>43405</v>
      </c>
      <c r="B12" s="22">
        <v>66000</v>
      </c>
      <c r="E12" s="21">
        <v>43313</v>
      </c>
      <c r="F12" s="22">
        <v>60000</v>
      </c>
      <c r="AB12" s="23" t="s">
        <v>539</v>
      </c>
      <c r="AC12" s="25">
        <v>267000</v>
      </c>
      <c r="AD12" s="25">
        <v>4</v>
      </c>
    </row>
    <row r="13" spans="1:30" x14ac:dyDescent="0.25">
      <c r="A13" s="21">
        <v>43435</v>
      </c>
      <c r="B13" s="22">
        <v>68000</v>
      </c>
      <c r="E13" s="21">
        <v>43344</v>
      </c>
      <c r="F13" s="22">
        <v>62000</v>
      </c>
      <c r="J13" t="s">
        <v>422</v>
      </c>
      <c r="AB13" s="23" t="s">
        <v>540</v>
      </c>
      <c r="AC13" s="25">
        <v>275000</v>
      </c>
      <c r="AD13" s="25">
        <v>4</v>
      </c>
    </row>
    <row r="14" spans="1:30" x14ac:dyDescent="0.25">
      <c r="A14" s="21">
        <v>43466</v>
      </c>
      <c r="B14" s="22">
        <v>50000</v>
      </c>
      <c r="E14" s="21">
        <v>43374</v>
      </c>
      <c r="F14" s="22">
        <v>64000</v>
      </c>
      <c r="J14">
        <f>SUM(B:B)</f>
        <v>7383000</v>
      </c>
      <c r="AB14" s="23" t="s">
        <v>541</v>
      </c>
      <c r="AC14" s="25">
        <v>283000</v>
      </c>
      <c r="AD14" s="25">
        <v>4</v>
      </c>
    </row>
    <row r="15" spans="1:30" x14ac:dyDescent="0.25">
      <c r="A15" s="21">
        <v>43497</v>
      </c>
      <c r="B15" s="22">
        <v>52000</v>
      </c>
      <c r="E15" s="21">
        <v>43405</v>
      </c>
      <c r="F15" s="22">
        <v>66000</v>
      </c>
      <c r="AB15" s="23" t="s">
        <v>542</v>
      </c>
      <c r="AC15" s="25">
        <v>291000</v>
      </c>
      <c r="AD15" s="25">
        <v>4</v>
      </c>
    </row>
    <row r="16" spans="1:30" x14ac:dyDescent="0.25">
      <c r="A16" s="21">
        <v>43525</v>
      </c>
      <c r="B16" s="22">
        <v>54000</v>
      </c>
      <c r="E16" s="21">
        <v>43435</v>
      </c>
      <c r="F16" s="22">
        <v>68000</v>
      </c>
      <c r="J16" t="s">
        <v>517</v>
      </c>
      <c r="AB16" s="23" t="s">
        <v>543</v>
      </c>
      <c r="AC16" s="25">
        <v>299000</v>
      </c>
      <c r="AD16" s="25">
        <v>4</v>
      </c>
    </row>
    <row r="17" spans="1:30" x14ac:dyDescent="0.25">
      <c r="A17" s="21">
        <v>43556</v>
      </c>
      <c r="B17" s="22">
        <v>56000</v>
      </c>
      <c r="E17" s="21">
        <v>43466</v>
      </c>
      <c r="F17" s="22">
        <v>50000</v>
      </c>
      <c r="J17">
        <f>MONTH(A3)</f>
        <v>2</v>
      </c>
      <c r="AB17" s="23" t="s">
        <v>521</v>
      </c>
      <c r="AC17" s="25">
        <v>3329000</v>
      </c>
      <c r="AD17" s="25">
        <v>52</v>
      </c>
    </row>
    <row r="18" spans="1:30" x14ac:dyDescent="0.25">
      <c r="A18" s="21">
        <v>43586</v>
      </c>
      <c r="B18" s="22">
        <v>58000</v>
      </c>
      <c r="E18" s="21">
        <v>43497</v>
      </c>
      <c r="F18" s="22">
        <v>52000</v>
      </c>
    </row>
    <row r="19" spans="1:30" x14ac:dyDescent="0.25">
      <c r="A19" s="21">
        <v>43617</v>
      </c>
      <c r="B19" s="22">
        <v>60000</v>
      </c>
      <c r="E19" s="21">
        <v>43525</v>
      </c>
      <c r="F19" s="22">
        <v>54000</v>
      </c>
    </row>
    <row r="20" spans="1:30" x14ac:dyDescent="0.25">
      <c r="A20" s="21">
        <v>43647</v>
      </c>
      <c r="B20" s="22">
        <v>62000</v>
      </c>
      <c r="E20" s="21">
        <v>43556</v>
      </c>
      <c r="F20" s="22">
        <v>56000</v>
      </c>
    </row>
    <row r="21" spans="1:30" x14ac:dyDescent="0.25">
      <c r="A21" s="21">
        <v>43678</v>
      </c>
      <c r="B21" s="22">
        <v>64000</v>
      </c>
      <c r="E21" s="21">
        <v>43586</v>
      </c>
      <c r="F21" s="22">
        <v>58000</v>
      </c>
    </row>
    <row r="22" spans="1:30" x14ac:dyDescent="0.25">
      <c r="A22" s="21">
        <v>43709</v>
      </c>
      <c r="B22" s="22">
        <v>66000</v>
      </c>
      <c r="E22" s="21">
        <v>43617</v>
      </c>
      <c r="F22" s="22">
        <v>60000</v>
      </c>
    </row>
    <row r="23" spans="1:30" x14ac:dyDescent="0.25">
      <c r="A23" s="21">
        <v>43739</v>
      </c>
      <c r="B23" s="22">
        <v>68000</v>
      </c>
      <c r="E23" s="21">
        <v>43647</v>
      </c>
      <c r="F23" s="22">
        <v>62000</v>
      </c>
    </row>
    <row r="24" spans="1:30" x14ac:dyDescent="0.25">
      <c r="A24" s="21">
        <v>43770</v>
      </c>
      <c r="B24" s="22">
        <v>70000</v>
      </c>
      <c r="E24" s="21">
        <v>43678</v>
      </c>
      <c r="F24" s="22">
        <v>64000</v>
      </c>
    </row>
    <row r="25" spans="1:30" x14ac:dyDescent="0.25">
      <c r="A25" s="21">
        <v>43800</v>
      </c>
      <c r="B25" s="22">
        <v>72000</v>
      </c>
      <c r="E25" s="21">
        <v>43709</v>
      </c>
      <c r="F25" s="22">
        <v>66000</v>
      </c>
    </row>
    <row r="26" spans="1:30" x14ac:dyDescent="0.25">
      <c r="A26" s="21">
        <v>43831</v>
      </c>
      <c r="B26" s="22">
        <v>55000</v>
      </c>
      <c r="E26" s="21">
        <v>43739</v>
      </c>
      <c r="F26" s="22">
        <v>68000</v>
      </c>
    </row>
    <row r="27" spans="1:30" x14ac:dyDescent="0.25">
      <c r="A27" s="21">
        <v>43862</v>
      </c>
      <c r="B27" s="22">
        <v>57000</v>
      </c>
      <c r="E27" s="21">
        <v>43770</v>
      </c>
      <c r="F27" s="22">
        <v>70000</v>
      </c>
    </row>
    <row r="28" spans="1:30" x14ac:dyDescent="0.25">
      <c r="A28" s="21">
        <v>43891</v>
      </c>
      <c r="B28" s="22">
        <v>59000</v>
      </c>
      <c r="E28" s="21">
        <v>43800</v>
      </c>
      <c r="F28" s="22">
        <v>72000</v>
      </c>
    </row>
    <row r="29" spans="1:30" x14ac:dyDescent="0.25">
      <c r="A29" s="21">
        <v>43922</v>
      </c>
      <c r="B29" s="22">
        <v>61000</v>
      </c>
      <c r="E29" s="21">
        <v>43831</v>
      </c>
      <c r="F29" s="22">
        <v>55000</v>
      </c>
    </row>
    <row r="30" spans="1:30" x14ac:dyDescent="0.25">
      <c r="A30" s="21">
        <v>43952</v>
      </c>
      <c r="B30" s="22">
        <v>63000</v>
      </c>
      <c r="E30" s="21">
        <v>43862</v>
      </c>
      <c r="F30" s="22">
        <v>57000</v>
      </c>
    </row>
    <row r="31" spans="1:30" x14ac:dyDescent="0.25">
      <c r="A31" s="21">
        <v>43983</v>
      </c>
      <c r="B31" s="22">
        <v>65000</v>
      </c>
      <c r="E31" s="21">
        <v>43891</v>
      </c>
      <c r="F31" s="22">
        <v>59000</v>
      </c>
    </row>
    <row r="32" spans="1:30" x14ac:dyDescent="0.25">
      <c r="A32" s="21">
        <v>44013</v>
      </c>
      <c r="B32" s="22">
        <v>67000</v>
      </c>
      <c r="E32" s="21">
        <v>43922</v>
      </c>
      <c r="F32" s="22">
        <v>61000</v>
      </c>
    </row>
    <row r="33" spans="1:6" x14ac:dyDescent="0.25">
      <c r="A33" s="21">
        <v>44044</v>
      </c>
      <c r="B33" s="22">
        <v>69000</v>
      </c>
      <c r="E33" s="21">
        <v>43952</v>
      </c>
      <c r="F33" s="22">
        <v>63000</v>
      </c>
    </row>
    <row r="34" spans="1:6" x14ac:dyDescent="0.25">
      <c r="A34" s="21">
        <v>44075</v>
      </c>
      <c r="B34" s="22">
        <v>71000</v>
      </c>
      <c r="E34" s="21">
        <v>43983</v>
      </c>
      <c r="F34" s="22">
        <v>65000</v>
      </c>
    </row>
    <row r="35" spans="1:6" x14ac:dyDescent="0.25">
      <c r="A35" s="21">
        <v>44105</v>
      </c>
      <c r="B35" s="22">
        <v>73000</v>
      </c>
      <c r="E35" s="21">
        <v>44013</v>
      </c>
      <c r="F35" s="22">
        <v>67000</v>
      </c>
    </row>
    <row r="36" spans="1:6" x14ac:dyDescent="0.25">
      <c r="A36" s="21">
        <v>44136</v>
      </c>
      <c r="B36" s="22">
        <v>75000</v>
      </c>
    </row>
    <row r="37" spans="1:6" x14ac:dyDescent="0.25">
      <c r="A37" s="21">
        <v>44166</v>
      </c>
      <c r="B37" s="22">
        <v>77000</v>
      </c>
    </row>
    <row r="38" spans="1:6" x14ac:dyDescent="0.25">
      <c r="A38" s="21">
        <v>44197</v>
      </c>
      <c r="B38" s="22">
        <v>60000</v>
      </c>
    </row>
    <row r="39" spans="1:6" x14ac:dyDescent="0.25">
      <c r="A39" s="21">
        <v>44228</v>
      </c>
      <c r="B39" s="22">
        <v>62000</v>
      </c>
    </row>
    <row r="40" spans="1:6" x14ac:dyDescent="0.25">
      <c r="A40" s="21">
        <v>44256</v>
      </c>
      <c r="B40" s="22">
        <v>64000</v>
      </c>
    </row>
    <row r="41" spans="1:6" x14ac:dyDescent="0.25">
      <c r="A41" s="21">
        <v>44287</v>
      </c>
      <c r="B41" s="22">
        <v>66000</v>
      </c>
    </row>
    <row r="42" spans="1:6" x14ac:dyDescent="0.25">
      <c r="A42" s="21">
        <v>44317</v>
      </c>
      <c r="B42" s="22">
        <v>68000</v>
      </c>
    </row>
    <row r="43" spans="1:6" x14ac:dyDescent="0.25">
      <c r="A43" s="21">
        <v>44348</v>
      </c>
      <c r="B43" s="22">
        <v>70000</v>
      </c>
    </row>
    <row r="44" spans="1:6" x14ac:dyDescent="0.25">
      <c r="A44" s="21">
        <v>44378</v>
      </c>
      <c r="B44" s="22">
        <v>72000</v>
      </c>
    </row>
    <row r="45" spans="1:6" x14ac:dyDescent="0.25">
      <c r="A45" s="21">
        <v>44409</v>
      </c>
      <c r="B45" s="22">
        <v>74000</v>
      </c>
    </row>
    <row r="46" spans="1:6" x14ac:dyDescent="0.25">
      <c r="A46" s="21">
        <v>44440</v>
      </c>
      <c r="B46" s="22">
        <v>76000</v>
      </c>
    </row>
    <row r="47" spans="1:6" x14ac:dyDescent="0.25">
      <c r="A47" s="21">
        <v>44470</v>
      </c>
      <c r="B47" s="22">
        <v>78000</v>
      </c>
    </row>
    <row r="48" spans="1:6" x14ac:dyDescent="0.25">
      <c r="A48" s="21">
        <v>44501</v>
      </c>
      <c r="B48" s="22">
        <v>80000</v>
      </c>
    </row>
    <row r="49" spans="1:2" x14ac:dyDescent="0.25">
      <c r="A49" s="21">
        <v>44531</v>
      </c>
      <c r="B49" s="22">
        <v>82000</v>
      </c>
    </row>
    <row r="50" spans="1:2" x14ac:dyDescent="0.25">
      <c r="A50" s="21">
        <v>44562</v>
      </c>
      <c r="B50" s="22">
        <v>65000</v>
      </c>
    </row>
    <row r="51" spans="1:2" x14ac:dyDescent="0.25">
      <c r="A51" s="21">
        <v>44593</v>
      </c>
      <c r="B51" s="22">
        <v>67000</v>
      </c>
    </row>
    <row r="52" spans="1:2" x14ac:dyDescent="0.25">
      <c r="A52" s="21">
        <v>44621</v>
      </c>
      <c r="B52" s="22">
        <v>69000</v>
      </c>
    </row>
    <row r="53" spans="1:2" x14ac:dyDescent="0.25">
      <c r="A53" s="21">
        <v>44652</v>
      </c>
      <c r="B53" s="22">
        <v>71000</v>
      </c>
    </row>
    <row r="54" spans="1:2" x14ac:dyDescent="0.25">
      <c r="A54" s="21">
        <v>44682</v>
      </c>
      <c r="B54" s="22">
        <v>73000</v>
      </c>
    </row>
    <row r="55" spans="1:2" x14ac:dyDescent="0.25">
      <c r="A55" s="21">
        <v>44713</v>
      </c>
      <c r="B55" s="22">
        <v>75000</v>
      </c>
    </row>
    <row r="56" spans="1:2" x14ac:dyDescent="0.25">
      <c r="A56" s="21">
        <v>44743</v>
      </c>
      <c r="B56" s="22">
        <v>77000</v>
      </c>
    </row>
    <row r="57" spans="1:2" x14ac:dyDescent="0.25">
      <c r="A57" s="21">
        <v>44774</v>
      </c>
      <c r="B57" s="22">
        <v>79000</v>
      </c>
    </row>
    <row r="58" spans="1:2" x14ac:dyDescent="0.25">
      <c r="A58" s="21">
        <v>44805</v>
      </c>
      <c r="B58" s="22">
        <v>81000</v>
      </c>
    </row>
    <row r="59" spans="1:2" x14ac:dyDescent="0.25">
      <c r="A59" s="21">
        <v>44835</v>
      </c>
      <c r="B59" s="22">
        <v>83000</v>
      </c>
    </row>
    <row r="60" spans="1:2" x14ac:dyDescent="0.25">
      <c r="A60" s="21">
        <v>44866</v>
      </c>
      <c r="B60" s="22">
        <v>85000</v>
      </c>
    </row>
    <row r="61" spans="1:2" x14ac:dyDescent="0.25">
      <c r="A61" s="21">
        <v>44896</v>
      </c>
      <c r="B61" s="22">
        <v>87000</v>
      </c>
    </row>
    <row r="62" spans="1:2" x14ac:dyDescent="0.25">
      <c r="A62" s="21">
        <v>44927</v>
      </c>
      <c r="B62" s="22">
        <v>70000</v>
      </c>
    </row>
    <row r="63" spans="1:2" x14ac:dyDescent="0.25">
      <c r="A63" s="21">
        <v>44958</v>
      </c>
      <c r="B63" s="22">
        <v>72000</v>
      </c>
    </row>
    <row r="64" spans="1:2" x14ac:dyDescent="0.25">
      <c r="A64" s="21">
        <v>44986</v>
      </c>
      <c r="B64" s="22">
        <v>74000</v>
      </c>
    </row>
    <row r="65" spans="1:2" x14ac:dyDescent="0.25">
      <c r="A65" s="21">
        <v>45017</v>
      </c>
      <c r="B65" s="22">
        <v>76000</v>
      </c>
    </row>
    <row r="66" spans="1:2" x14ac:dyDescent="0.25">
      <c r="A66" s="21">
        <v>45047</v>
      </c>
      <c r="B66" s="22">
        <v>78000</v>
      </c>
    </row>
    <row r="67" spans="1:2" x14ac:dyDescent="0.25">
      <c r="A67" s="21">
        <v>45078</v>
      </c>
      <c r="B67" s="22">
        <v>80000</v>
      </c>
    </row>
    <row r="68" spans="1:2" x14ac:dyDescent="0.25">
      <c r="A68" s="21">
        <v>45108</v>
      </c>
      <c r="B68" s="22">
        <v>82000</v>
      </c>
    </row>
    <row r="69" spans="1:2" x14ac:dyDescent="0.25">
      <c r="A69" s="21">
        <v>45139</v>
      </c>
      <c r="B69" s="22">
        <v>84000</v>
      </c>
    </row>
    <row r="70" spans="1:2" x14ac:dyDescent="0.25">
      <c r="A70" s="21">
        <v>45170</v>
      </c>
      <c r="B70" s="22">
        <v>86000</v>
      </c>
    </row>
    <row r="71" spans="1:2" x14ac:dyDescent="0.25">
      <c r="A71" s="21">
        <v>45200</v>
      </c>
      <c r="B71" s="22">
        <v>88000</v>
      </c>
    </row>
    <row r="72" spans="1:2" x14ac:dyDescent="0.25">
      <c r="A72" s="21">
        <v>45231</v>
      </c>
      <c r="B72" s="22">
        <v>90000</v>
      </c>
    </row>
    <row r="73" spans="1:2" x14ac:dyDescent="0.25">
      <c r="A73" s="21">
        <v>45261</v>
      </c>
      <c r="B73" s="22">
        <v>92000</v>
      </c>
    </row>
    <row r="74" spans="1:2" x14ac:dyDescent="0.25">
      <c r="A74" s="21">
        <v>45292</v>
      </c>
      <c r="B74" s="22">
        <v>75000</v>
      </c>
    </row>
    <row r="75" spans="1:2" x14ac:dyDescent="0.25">
      <c r="A75" s="21">
        <v>45323</v>
      </c>
      <c r="B75" s="22">
        <v>77000</v>
      </c>
    </row>
    <row r="76" spans="1:2" x14ac:dyDescent="0.25">
      <c r="A76" s="21">
        <v>45352</v>
      </c>
      <c r="B76" s="22">
        <v>79000</v>
      </c>
    </row>
    <row r="77" spans="1:2" x14ac:dyDescent="0.25">
      <c r="A77" s="21">
        <v>45383</v>
      </c>
      <c r="B77" s="22">
        <v>81000</v>
      </c>
    </row>
    <row r="78" spans="1:2" x14ac:dyDescent="0.25">
      <c r="A78" s="21">
        <v>45413</v>
      </c>
      <c r="B78" s="22">
        <v>83000</v>
      </c>
    </row>
    <row r="79" spans="1:2" x14ac:dyDescent="0.25">
      <c r="A79" s="21">
        <v>45444</v>
      </c>
      <c r="B79" s="22">
        <v>85000</v>
      </c>
    </row>
    <row r="80" spans="1:2" x14ac:dyDescent="0.25">
      <c r="A80" s="21">
        <v>45474</v>
      </c>
      <c r="B80" s="22">
        <v>87000</v>
      </c>
    </row>
    <row r="81" spans="1:2" x14ac:dyDescent="0.25">
      <c r="A81" s="21">
        <v>45505</v>
      </c>
      <c r="B81" s="22">
        <v>89000</v>
      </c>
    </row>
    <row r="82" spans="1:2" x14ac:dyDescent="0.25">
      <c r="A82" s="21">
        <v>45536</v>
      </c>
      <c r="B82" s="22">
        <v>91000</v>
      </c>
    </row>
    <row r="83" spans="1:2" x14ac:dyDescent="0.25">
      <c r="A83" s="21">
        <v>45566</v>
      </c>
      <c r="B83" s="22">
        <v>93000</v>
      </c>
    </row>
    <row r="84" spans="1:2" x14ac:dyDescent="0.25">
      <c r="A84" s="21">
        <v>45597</v>
      </c>
      <c r="B84" s="22">
        <v>95000</v>
      </c>
    </row>
    <row r="85" spans="1:2" x14ac:dyDescent="0.25">
      <c r="A85" s="21">
        <v>45627</v>
      </c>
      <c r="B85" s="22">
        <v>97000</v>
      </c>
    </row>
    <row r="86" spans="1:2" x14ac:dyDescent="0.25">
      <c r="A86" s="21">
        <v>45658</v>
      </c>
      <c r="B86" s="22">
        <v>80000</v>
      </c>
    </row>
    <row r="87" spans="1:2" x14ac:dyDescent="0.25">
      <c r="A87" s="21">
        <v>45689</v>
      </c>
      <c r="B87" s="22">
        <v>82000</v>
      </c>
    </row>
    <row r="88" spans="1:2" x14ac:dyDescent="0.25">
      <c r="A88" s="21">
        <v>45717</v>
      </c>
      <c r="B88" s="22">
        <v>84000</v>
      </c>
    </row>
    <row r="89" spans="1:2" x14ac:dyDescent="0.25">
      <c r="A89" s="21">
        <v>45748</v>
      </c>
      <c r="B89" s="22">
        <v>86000</v>
      </c>
    </row>
    <row r="90" spans="1:2" x14ac:dyDescent="0.25">
      <c r="A90" s="21">
        <v>45778</v>
      </c>
      <c r="B90" s="22">
        <v>88000</v>
      </c>
    </row>
    <row r="91" spans="1:2" x14ac:dyDescent="0.25">
      <c r="A91" s="21">
        <v>45809</v>
      </c>
      <c r="B91" s="22">
        <v>90000</v>
      </c>
    </row>
    <row r="92" spans="1:2" x14ac:dyDescent="0.25">
      <c r="A92" s="21">
        <v>45839</v>
      </c>
      <c r="B92" s="22">
        <v>92000</v>
      </c>
    </row>
    <row r="93" spans="1:2" x14ac:dyDescent="0.25">
      <c r="A93" s="21">
        <v>45870</v>
      </c>
      <c r="B93" s="22">
        <v>94000</v>
      </c>
    </row>
    <row r="94" spans="1:2" x14ac:dyDescent="0.25">
      <c r="A94" s="21">
        <v>45901</v>
      </c>
      <c r="B94" s="22">
        <v>96000</v>
      </c>
    </row>
    <row r="95" spans="1:2" x14ac:dyDescent="0.25">
      <c r="A95" s="21">
        <v>45931</v>
      </c>
      <c r="B95" s="22">
        <v>98000</v>
      </c>
    </row>
    <row r="96" spans="1:2" x14ac:dyDescent="0.25">
      <c r="A96" s="21">
        <v>45962</v>
      </c>
      <c r="B96" s="22">
        <v>100000</v>
      </c>
    </row>
    <row r="97" spans="1:2" x14ac:dyDescent="0.25">
      <c r="A97" s="21">
        <v>45992</v>
      </c>
      <c r="B97" s="22">
        <v>102000</v>
      </c>
    </row>
    <row r="98" spans="1:2" x14ac:dyDescent="0.25">
      <c r="A98" s="21">
        <v>46023</v>
      </c>
      <c r="B98" s="22">
        <v>104000</v>
      </c>
    </row>
    <row r="99" spans="1:2" x14ac:dyDescent="0.25">
      <c r="A99" s="21">
        <v>46054</v>
      </c>
      <c r="B99" s="22">
        <v>106000</v>
      </c>
    </row>
    <row r="100" spans="1:2" x14ac:dyDescent="0.25">
      <c r="A100" s="21">
        <v>46082</v>
      </c>
      <c r="B100" s="22">
        <v>108000</v>
      </c>
    </row>
    <row r="101" spans="1:2" x14ac:dyDescent="0.25">
      <c r="A101" s="21"/>
      <c r="B101" s="22"/>
    </row>
  </sheetData>
  <mergeCells count="2">
    <mergeCell ref="E1:F2"/>
    <mergeCell ref="M1:O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customers</vt:lpstr>
      <vt:lpstr>Products</vt:lpstr>
      <vt:lpstr>orders</vt:lpstr>
      <vt:lpstr>Inventory</vt:lpstr>
      <vt:lpstr>Sales</vt:lpstr>
      <vt:lpstr>CUST-TABLE</vt:lpstr>
      <vt:lpstr>PROD_TABLE</vt:lpstr>
      <vt:lpstr>ORDER_TABLE</vt:lpstr>
      <vt:lpstr>INVENTORY_TABLE</vt:lpstr>
      <vt:lpstr>SALES_TABLE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budha</dc:creator>
  <cp:lastModifiedBy>sanjana budha</cp:lastModifiedBy>
  <dcterms:created xsi:type="dcterms:W3CDTF">2026-06-18T17:29:48Z</dcterms:created>
  <dcterms:modified xsi:type="dcterms:W3CDTF">2026-06-18T19:53:04Z</dcterms:modified>
</cp:coreProperties>
</file>